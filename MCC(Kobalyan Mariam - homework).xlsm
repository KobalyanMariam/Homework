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60" windowWidth="20115" windowHeight="801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C5" i="1"/>
  <c r="F13" i="1"/>
  <c r="AJ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<sst xmlns="http://schemas.openxmlformats.org/spreadsheetml/2006/main" count="12" uniqueCount="11">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</sst>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0"/>
    <numFmt numFmtId="166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166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293.3333332965492</c:v>
                </c:pt>
                <c:pt idx="2">
                  <c:v>286.66666659309834</c:v>
                </c:pt>
                <c:pt idx="3">
                  <c:v>279.99999989125513</c:v>
                </c:pt>
                <c:pt idx="4">
                  <c:v>273.33333318941197</c:v>
                </c:pt>
                <c:pt idx="5">
                  <c:v>266.66666649071379</c:v>
                </c:pt>
                <c:pt idx="6">
                  <c:v>259.99999979201561</c:v>
                </c:pt>
                <c:pt idx="7">
                  <c:v>253.33333309786244</c:v>
                </c:pt>
                <c:pt idx="8">
                  <c:v>246.66666640370926</c:v>
                </c:pt>
                <c:pt idx="9">
                  <c:v>239.99999971530229</c:v>
                </c:pt>
                <c:pt idx="10">
                  <c:v>233.33333302689533</c:v>
                </c:pt>
                <c:pt idx="11">
                  <c:v>226.66666634518478</c:v>
                </c:pt>
                <c:pt idx="12">
                  <c:v>219.99999966347423</c:v>
                </c:pt>
                <c:pt idx="13">
                  <c:v>213.33333298911759</c:v>
                </c:pt>
                <c:pt idx="14">
                  <c:v>206.66666631476096</c:v>
                </c:pt>
                <c:pt idx="15">
                  <c:v>199.99999964809427</c:v>
                </c:pt>
                <c:pt idx="16">
                  <c:v>193.33333298142762</c:v>
                </c:pt>
                <c:pt idx="17">
                  <c:v>186.66666632245094</c:v>
                </c:pt>
                <c:pt idx="18">
                  <c:v>179.99999966347426</c:v>
                </c:pt>
                <c:pt idx="19">
                  <c:v>173.33333301185147</c:v>
                </c:pt>
                <c:pt idx="20">
                  <c:v>166.66666636022867</c:v>
                </c:pt>
                <c:pt idx="21">
                  <c:v>159.99999971530229</c:v>
                </c:pt>
                <c:pt idx="22">
                  <c:v>153.33333307037591</c:v>
                </c:pt>
                <c:pt idx="23">
                  <c:v>146.66666643119578</c:v>
                </c:pt>
                <c:pt idx="24">
                  <c:v>139.99999979201567</c:v>
                </c:pt>
                <c:pt idx="25">
                  <c:v>133.33333315738048</c:v>
                </c:pt>
                <c:pt idx="26">
                  <c:v>126.6666665227453</c:v>
                </c:pt>
                <c:pt idx="27">
                  <c:v>119.99999989125514</c:v>
                </c:pt>
                <c:pt idx="28">
                  <c:v>113.333333259765</c:v>
                </c:pt>
                <c:pt idx="29">
                  <c:v>106.6666666298825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78560"/>
        <c:axId val="129994112"/>
      </c:scatterChart>
      <c:valAx>
        <c:axId val="152978560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29994112"/>
        <c:crosses val="autoZero"/>
        <c:crossBetween val="midCat"/>
      </c:valAx>
      <c:valAx>
        <c:axId val="129994112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52978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130970</xdr:colOff>
      <xdr:row>17</xdr:row>
      <xdr:rowOff>33337</xdr:rowOff>
    </xdr:from>
    <xdr:to>
      <xdr:col>17</xdr:col>
      <xdr:colOff>452438</xdr:colOff>
      <xdr:row>39</xdr:row>
      <xdr:rowOff>83344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154781</xdr:colOff>
      <xdr:row>17</xdr:row>
      <xdr:rowOff>83343</xdr:rowOff>
    </xdr:from>
    <xdr:ext cx="440530" cy="23812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4619625" y="3321843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,[</m:t>
                    </m:r>
                    <m:r>
                      <a:rPr lang="en-US" sz="1100" b="1" i="1">
                        <a:latin typeface="Cambria Math"/>
                      </a:rPr>
                      <m:t>𝑪</m:t>
                    </m:r>
                    <m:r>
                      <a:rPr lang="en-US" sz="11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4619625" y="3321843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16</xdr:col>
      <xdr:colOff>285750</xdr:colOff>
      <xdr:row>37</xdr:row>
      <xdr:rowOff>188118</xdr:rowOff>
    </xdr:from>
    <xdr:ext cx="569117" cy="2286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560594" y="7236618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en-US" sz="1100" b="1" i="1">
                      <a:latin typeface="Cambria Math"/>
                    </a:rPr>
                    <m:t>𝒎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560594" y="7236618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:r>
                <a:rPr lang="en-US" sz="1100" b="1" i="0">
                  <a:latin typeface="Cambria Math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topLeftCell="A7" zoomScale="80" zoomScaleNormal="80" workbookViewId="0">
      <selection activeCell="N13" sqref="N13"/>
    </sheetView>
  </sheetViews>
  <sheetFormatPr defaultRowHeight="15" x14ac:dyDescent="0.25"/>
  <cols>
    <col min="6" max="36" width="7.140625" customWidth="1"/>
  </cols>
  <sheetData>
    <row r="3" spans="2:36" x14ac:dyDescent="0.25">
      <c r="B3" s="5" t="s">
        <v>0</v>
      </c>
      <c r="C3" s="5">
        <v>0.1</v>
      </c>
    </row>
    <row r="4" spans="2:36" x14ac:dyDescent="0.25">
      <c r="B4" s="5" t="s">
        <v>1</v>
      </c>
      <c r="C4" s="6">
        <f>C3/30</f>
        <v>3.3333333333333335E-3</v>
      </c>
    </row>
    <row r="5" spans="2:36" x14ac:dyDescent="0.25">
      <c r="B5" s="5" t="s">
        <v>2</v>
      </c>
      <c r="C5" s="5">
        <f>(C9*C8*C4^2)/(2*C10)</f>
        <v>0.4333333333333334</v>
      </c>
    </row>
    <row r="6" spans="2:36" x14ac:dyDescent="0.25">
      <c r="B6" s="5" t="s">
        <v>3</v>
      </c>
      <c r="C6" s="5">
        <v>5000</v>
      </c>
      <c r="D6">
        <v>1.4333333333333333</v>
      </c>
    </row>
    <row r="8" spans="2:36" x14ac:dyDescent="0.25">
      <c r="B8" s="5" t="s">
        <v>4</v>
      </c>
      <c r="C8" s="5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5" t="s">
        <v>6</v>
      </c>
      <c r="C10" s="5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5" t="s">
        <v>8</v>
      </c>
      <c r="C12" s="5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5" t="s">
        <v>9</v>
      </c>
      <c r="C13" s="5">
        <v>100</v>
      </c>
      <c r="E13" t="s">
        <v>7</v>
      </c>
      <c r="F13" s="1">
        <f>C12</f>
        <v>300</v>
      </c>
      <c r="G13" s="1">
        <v>293.3333332965492</v>
      </c>
      <c r="H13" s="1">
        <v>286.66666659309834</v>
      </c>
      <c r="I13" s="1">
        <v>279.99999989125513</v>
      </c>
      <c r="J13" s="1">
        <v>273.33333318941197</v>
      </c>
      <c r="K13" s="1">
        <v>266.66666649071379</v>
      </c>
      <c r="L13" s="1">
        <v>259.99999979201561</v>
      </c>
      <c r="M13" s="1">
        <v>253.33333309786244</v>
      </c>
      <c r="N13" s="1">
        <v>246.66666640370926</v>
      </c>
      <c r="O13" s="1">
        <v>239.99999971530229</v>
      </c>
      <c r="P13" s="1">
        <v>233.33333302689533</v>
      </c>
      <c r="Q13" s="1">
        <v>226.66666634518478</v>
      </c>
      <c r="R13" s="1">
        <v>219.99999966347423</v>
      </c>
      <c r="S13" s="1">
        <v>213.33333298911759</v>
      </c>
      <c r="T13" s="1">
        <v>206.66666631476096</v>
      </c>
      <c r="U13" s="1">
        <v>199.99999964809427</v>
      </c>
      <c r="V13" s="1">
        <v>193.33333298142762</v>
      </c>
      <c r="W13" s="1">
        <v>186.66666632245094</v>
      </c>
      <c r="X13" s="1">
        <v>179.99999966347426</v>
      </c>
      <c r="Y13" s="1">
        <v>173.33333301185147</v>
      </c>
      <c r="Z13" s="1">
        <v>166.66666636022867</v>
      </c>
      <c r="AA13" s="1">
        <v>159.99999971530229</v>
      </c>
      <c r="AB13" s="1">
        <v>153.33333307037591</v>
      </c>
      <c r="AC13" s="1">
        <v>146.66666643119578</v>
      </c>
      <c r="AD13" s="1">
        <v>139.99999979201567</v>
      </c>
      <c r="AE13" s="1">
        <v>133.33333315738048</v>
      </c>
      <c r="AF13" s="1">
        <v>126.6666665227453</v>
      </c>
      <c r="AG13" s="1">
        <v>119.99999989125514</v>
      </c>
      <c r="AH13" s="1">
        <v>113.333333259765</v>
      </c>
      <c r="AI13" s="1">
        <v>106.6666666298825</v>
      </c>
      <c r="AJ13">
        <f>C13</f>
        <v>100</v>
      </c>
    </row>
    <row r="15" spans="2:36" x14ac:dyDescent="0.25">
      <c r="E15" t="s">
        <v>10</v>
      </c>
      <c r="G15" s="1">
        <f>G13+(($C$10*$C$5)/($C$9*$C$8))*((H13-2*G13+F13)/($C$4^2))</f>
        <v>293.3333332965492</v>
      </c>
      <c r="H15" s="1">
        <f t="shared" ref="H15:AI15" si="1">H13+(($C$10*$C$5)/($C$9*$C$8))*((I13-2*H13+G13)/($C$4^2))</f>
        <v>286.66666659390216</v>
      </c>
      <c r="I15" s="1">
        <f t="shared" si="1"/>
        <v>279.99999989125513</v>
      </c>
      <c r="J15" s="1">
        <f t="shared" si="1"/>
        <v>273.33333319098449</v>
      </c>
      <c r="K15" s="1">
        <f t="shared" si="1"/>
        <v>266.66666649071379</v>
      </c>
      <c r="L15" s="1">
        <f t="shared" si="1"/>
        <v>259.9999997942881</v>
      </c>
      <c r="M15" s="1">
        <f t="shared" si="1"/>
        <v>253.33333309786244</v>
      </c>
      <c r="N15" s="1">
        <f t="shared" si="1"/>
        <v>246.66666640658235</v>
      </c>
      <c r="O15" s="1">
        <f t="shared" si="1"/>
        <v>239.99999971530229</v>
      </c>
      <c r="P15" s="1">
        <f t="shared" si="1"/>
        <v>233.33333303024352</v>
      </c>
      <c r="Q15" s="1">
        <f t="shared" si="1"/>
        <v>226.66666634518478</v>
      </c>
      <c r="R15" s="1">
        <f t="shared" si="1"/>
        <v>219.9999996671512</v>
      </c>
      <c r="S15" s="1">
        <f t="shared" si="1"/>
        <v>213.33333298911759</v>
      </c>
      <c r="T15" s="1">
        <f t="shared" si="1"/>
        <v>206.66666631860593</v>
      </c>
      <c r="U15" s="1">
        <f t="shared" si="1"/>
        <v>199.99999964809427</v>
      </c>
      <c r="V15" s="1">
        <f t="shared" si="1"/>
        <v>193.33333298527259</v>
      </c>
      <c r="W15" s="1">
        <f t="shared" si="1"/>
        <v>186.66666632245094</v>
      </c>
      <c r="X15" s="1">
        <f t="shared" si="1"/>
        <v>179.9999996671512</v>
      </c>
      <c r="Y15" s="1">
        <f t="shared" si="1"/>
        <v>173.33333301185147</v>
      </c>
      <c r="Z15" s="1">
        <f t="shared" si="1"/>
        <v>166.66666636357689</v>
      </c>
      <c r="AA15" s="1">
        <f t="shared" si="1"/>
        <v>159.99999971530229</v>
      </c>
      <c r="AB15" s="1">
        <f t="shared" si="1"/>
        <v>153.33333307324904</v>
      </c>
      <c r="AC15" s="1">
        <f t="shared" si="1"/>
        <v>146.66666643119578</v>
      </c>
      <c r="AD15" s="1">
        <f t="shared" si="1"/>
        <v>139.99999979428813</v>
      </c>
      <c r="AE15" s="1">
        <f t="shared" si="1"/>
        <v>133.33333315738048</v>
      </c>
      <c r="AF15" s="1">
        <f t="shared" si="1"/>
        <v>126.66666652431782</v>
      </c>
      <c r="AG15" s="1">
        <f t="shared" si="1"/>
        <v>119.99999989125516</v>
      </c>
      <c r="AH15" s="1">
        <f t="shared" si="1"/>
        <v>113.33333326056882</v>
      </c>
      <c r="AI15" s="1">
        <f t="shared" si="1"/>
        <v>106.6666666298825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2021-09-17T10:58:47Z</dcterms:created>
  <dcterms:modified xsi:type="dcterms:W3CDTF">2021-09-17T13:24:32Z</dcterms:modified>
</cp:coreProperties>
</file>