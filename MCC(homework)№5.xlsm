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240" yWindow="60" windowWidth="20115" windowHeight="8010"/>
  </bookViews>
  <sheets>
    <sheet name="Лист1" sheetId="1" r:id="rId1"/>
    <sheet name="Лист2" sheetId="2" r:id="rId2"/>
    <sheet name="Лист3" sheetId="3" r:id="rId3"/>
  </sheets>
  <calcPr calcId="145621"/>
</workbook>
</file>

<file path=xl/calcChain.xml><?xml version="1.0" encoding="utf-8"?>
<calcChain xmlns="http://schemas.openxmlformats.org/spreadsheetml/2006/main">
  <c r="B30" i="2" l="1"/>
  <c r="C30" i="2" s="1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B19" i="2"/>
  <c r="B20" i="2" s="1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9" i="2"/>
  <c r="B8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C8" i="2" s="1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B5" i="2"/>
  <c r="C5" i="2" s="1"/>
  <c r="D5" i="2" s="1"/>
  <c r="E5" i="2" s="1"/>
  <c r="F5" i="2" s="1"/>
  <c r="G5" i="2" s="1"/>
  <c r="H5" i="2" s="1"/>
  <c r="I5" i="2" s="1"/>
  <c r="J5" i="2" s="1"/>
  <c r="K5" i="2" s="1"/>
  <c r="L5" i="2" s="1"/>
  <c r="M5" i="2" s="1"/>
  <c r="N5" i="2" s="1"/>
  <c r="O5" i="2" s="1"/>
  <c r="P5" i="2" s="1"/>
  <c r="C9" i="2" l="1"/>
  <c r="D8" i="2"/>
  <c r="C31" i="2"/>
  <c r="D30" i="2"/>
  <c r="C19" i="2"/>
  <c r="B31" i="2"/>
  <c r="T54" i="1"/>
  <c r="S54" i="1"/>
  <c r="R54" i="1"/>
  <c r="Q54" i="1"/>
  <c r="P54" i="1"/>
  <c r="O54" i="1"/>
  <c r="T53" i="1"/>
  <c r="S53" i="1"/>
  <c r="R53" i="1"/>
  <c r="Q53" i="1"/>
  <c r="P53" i="1"/>
  <c r="O53" i="1"/>
  <c r="N53" i="1"/>
  <c r="T52" i="1"/>
  <c r="S52" i="1"/>
  <c r="R52" i="1"/>
  <c r="Q52" i="1"/>
  <c r="P52" i="1"/>
  <c r="O52" i="1"/>
  <c r="N52" i="1"/>
  <c r="M52" i="1"/>
  <c r="T51" i="1"/>
  <c r="S51" i="1"/>
  <c r="R51" i="1"/>
  <c r="Q51" i="1"/>
  <c r="P51" i="1"/>
  <c r="O51" i="1"/>
  <c r="N51" i="1"/>
  <c r="M51" i="1"/>
  <c r="L51" i="1"/>
  <c r="T50" i="1"/>
  <c r="S50" i="1"/>
  <c r="R50" i="1"/>
  <c r="Q50" i="1"/>
  <c r="P50" i="1"/>
  <c r="O50" i="1"/>
  <c r="N50" i="1"/>
  <c r="M50" i="1"/>
  <c r="L50" i="1"/>
  <c r="K50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X10" i="1" s="1"/>
  <c r="T48" i="1"/>
  <c r="S48" i="1"/>
  <c r="R48" i="1"/>
  <c r="Q48" i="1"/>
  <c r="P48" i="1"/>
  <c r="O48" i="1"/>
  <c r="N48" i="1"/>
  <c r="M48" i="1"/>
  <c r="L48" i="1"/>
  <c r="K48" i="1"/>
  <c r="J48" i="1"/>
  <c r="I48" i="1"/>
  <c r="H48" i="1"/>
  <c r="G48" i="1"/>
  <c r="F48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T46" i="1"/>
  <c r="S46" i="1"/>
  <c r="R46" i="1"/>
  <c r="Q46" i="1"/>
  <c r="P46" i="1"/>
  <c r="O46" i="1"/>
  <c r="N46" i="1"/>
  <c r="M46" i="1"/>
  <c r="L46" i="1"/>
  <c r="K46" i="1"/>
  <c r="J46" i="1"/>
  <c r="I46" i="1"/>
  <c r="H46" i="1"/>
  <c r="G46" i="1"/>
  <c r="F46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X9" i="1"/>
  <c r="AF10" i="1"/>
  <c r="AE10" i="1"/>
  <c r="AD10" i="1"/>
  <c r="AC10" i="1"/>
  <c r="AB10" i="1"/>
  <c r="AH10" i="1"/>
  <c r="AI10" i="1"/>
  <c r="AJ10" i="1"/>
  <c r="AK10" i="1"/>
  <c r="AL10" i="1"/>
  <c r="AG10" i="1"/>
  <c r="AH6" i="1"/>
  <c r="AI6" i="1"/>
  <c r="AJ6" i="1"/>
  <c r="AK6" i="1"/>
  <c r="AL6" i="1"/>
  <c r="AG6" i="1"/>
  <c r="AF6" i="1"/>
  <c r="AE6" i="1"/>
  <c r="AD6" i="1"/>
  <c r="AC6" i="1"/>
  <c r="Y6" i="1"/>
  <c r="Z6" i="1"/>
  <c r="AA6" i="1"/>
  <c r="AB6" i="1"/>
  <c r="X6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X19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X23" i="1"/>
  <c r="Y10" i="1"/>
  <c r="Z10" i="1"/>
  <c r="AA10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X22" i="1"/>
  <c r="C20" i="2" l="1"/>
  <c r="D19" i="2"/>
  <c r="D31" i="2"/>
  <c r="E30" i="2"/>
  <c r="D9" i="2"/>
  <c r="E8" i="2"/>
  <c r="X25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X12" i="1"/>
  <c r="X13" i="1" s="1"/>
  <c r="AL8" i="1"/>
  <c r="AK8" i="1"/>
  <c r="AJ8" i="1"/>
  <c r="AI8" i="1"/>
  <c r="AH8" i="1"/>
  <c r="AG8" i="1"/>
  <c r="F30" i="2" l="1"/>
  <c r="E31" i="2"/>
  <c r="F8" i="2"/>
  <c r="E9" i="2"/>
  <c r="E19" i="2"/>
  <c r="D20" i="2"/>
  <c r="X26" i="1"/>
  <c r="F19" i="2" l="1"/>
  <c r="E20" i="2"/>
  <c r="G30" i="2"/>
  <c r="F31" i="2"/>
  <c r="G8" i="2"/>
  <c r="F9" i="2"/>
  <c r="O14" i="1"/>
  <c r="O41" i="1" s="1"/>
  <c r="P14" i="1"/>
  <c r="P41" i="1" s="1"/>
  <c r="Q14" i="1"/>
  <c r="Q41" i="1" s="1"/>
  <c r="R14" i="1"/>
  <c r="R41" i="1" s="1"/>
  <c r="S14" i="1"/>
  <c r="S41" i="1" s="1"/>
  <c r="N13" i="1"/>
  <c r="N40" i="1" s="1"/>
  <c r="O13" i="1"/>
  <c r="O40" i="1" s="1"/>
  <c r="O66" i="1" s="1"/>
  <c r="P13" i="1"/>
  <c r="P40" i="1" s="1"/>
  <c r="P66" i="1" s="1"/>
  <c r="Q13" i="1"/>
  <c r="Q40" i="1" s="1"/>
  <c r="Q66" i="1" s="1"/>
  <c r="R13" i="1"/>
  <c r="R40" i="1" s="1"/>
  <c r="R66" i="1" s="1"/>
  <c r="S13" i="1"/>
  <c r="S40" i="1" s="1"/>
  <c r="S66" i="1" s="1"/>
  <c r="M12" i="1"/>
  <c r="M39" i="1" s="1"/>
  <c r="N12" i="1"/>
  <c r="N39" i="1" s="1"/>
  <c r="N65" i="1" s="1"/>
  <c r="O12" i="1"/>
  <c r="P12" i="1"/>
  <c r="Q12" i="1"/>
  <c r="R12" i="1"/>
  <c r="S12" i="1"/>
  <c r="L11" i="1"/>
  <c r="L38" i="1" s="1"/>
  <c r="M11" i="1"/>
  <c r="M38" i="1" s="1"/>
  <c r="M64" i="1" s="1"/>
  <c r="N11" i="1"/>
  <c r="O11" i="1"/>
  <c r="P11" i="1"/>
  <c r="Q11" i="1"/>
  <c r="R11" i="1"/>
  <c r="S11" i="1"/>
  <c r="K10" i="1"/>
  <c r="K37" i="1" s="1"/>
  <c r="L10" i="1"/>
  <c r="L37" i="1" s="1"/>
  <c r="L63" i="1" s="1"/>
  <c r="M10" i="1"/>
  <c r="N10" i="1"/>
  <c r="O10" i="1"/>
  <c r="P10" i="1"/>
  <c r="Q10" i="1"/>
  <c r="R10" i="1"/>
  <c r="S10" i="1"/>
  <c r="G7" i="1"/>
  <c r="H7" i="1"/>
  <c r="I7" i="1"/>
  <c r="J7" i="1"/>
  <c r="K7" i="1"/>
  <c r="L7" i="1"/>
  <c r="M7" i="1"/>
  <c r="N7" i="1"/>
  <c r="O7" i="1"/>
  <c r="P7" i="1"/>
  <c r="Q7" i="1"/>
  <c r="R7" i="1"/>
  <c r="S7" i="1"/>
  <c r="G8" i="1"/>
  <c r="G35" i="1" s="1"/>
  <c r="G61" i="1" s="1"/>
  <c r="H8" i="1"/>
  <c r="H35" i="1" s="1"/>
  <c r="H61" i="1" s="1"/>
  <c r="I8" i="1"/>
  <c r="I35" i="1" s="1"/>
  <c r="I61" i="1" s="1"/>
  <c r="J8" i="1"/>
  <c r="J35" i="1" s="1"/>
  <c r="J61" i="1" s="1"/>
  <c r="K8" i="1"/>
  <c r="L8" i="1"/>
  <c r="M8" i="1"/>
  <c r="N8" i="1"/>
  <c r="O8" i="1"/>
  <c r="P8" i="1"/>
  <c r="Q8" i="1"/>
  <c r="R8" i="1"/>
  <c r="S8" i="1"/>
  <c r="G9" i="1"/>
  <c r="G36" i="1" s="1"/>
  <c r="H9" i="1"/>
  <c r="H36" i="1" s="1"/>
  <c r="I9" i="1"/>
  <c r="I36" i="1" s="1"/>
  <c r="J9" i="1"/>
  <c r="J36" i="1" s="1"/>
  <c r="K9" i="1"/>
  <c r="K36" i="1" s="1"/>
  <c r="K62" i="1" s="1"/>
  <c r="L9" i="1"/>
  <c r="L36" i="1" s="1"/>
  <c r="L62" i="1" s="1"/>
  <c r="M9" i="1"/>
  <c r="M36" i="1" s="1"/>
  <c r="M62" i="1" s="1"/>
  <c r="N9" i="1"/>
  <c r="N36" i="1" s="1"/>
  <c r="N62" i="1" s="1"/>
  <c r="O9" i="1"/>
  <c r="O36" i="1" s="1"/>
  <c r="O62" i="1" s="1"/>
  <c r="P9" i="1"/>
  <c r="P36" i="1" s="1"/>
  <c r="P62" i="1" s="1"/>
  <c r="Q9" i="1"/>
  <c r="Q36" i="1" s="1"/>
  <c r="Q62" i="1" s="1"/>
  <c r="R9" i="1"/>
  <c r="R36" i="1" s="1"/>
  <c r="R62" i="1" s="1"/>
  <c r="S9" i="1"/>
  <c r="S36" i="1" s="1"/>
  <c r="S62" i="1" s="1"/>
  <c r="H6" i="1"/>
  <c r="I6" i="1"/>
  <c r="J6" i="1"/>
  <c r="K6" i="1"/>
  <c r="L6" i="1"/>
  <c r="M6" i="1"/>
  <c r="N6" i="1"/>
  <c r="O6" i="1"/>
  <c r="P6" i="1"/>
  <c r="Q6" i="1"/>
  <c r="R6" i="1"/>
  <c r="S6" i="1"/>
  <c r="G6" i="1"/>
  <c r="B6" i="1"/>
  <c r="T14" i="1" s="1"/>
  <c r="F8" i="1"/>
  <c r="F35" i="1" s="1"/>
  <c r="F61" i="1" s="1"/>
  <c r="F9" i="1"/>
  <c r="F36" i="1" s="1"/>
  <c r="G9" i="2" l="1"/>
  <c r="H8" i="2"/>
  <c r="F20" i="2"/>
  <c r="G19" i="2"/>
  <c r="G31" i="2"/>
  <c r="H30" i="2"/>
  <c r="T13" i="1"/>
  <c r="T41" i="1"/>
  <c r="F7" i="1"/>
  <c r="F62" i="1"/>
  <c r="X11" i="1" s="1"/>
  <c r="R35" i="1"/>
  <c r="R61" i="1" s="1"/>
  <c r="N35" i="1"/>
  <c r="N61" i="1" s="1"/>
  <c r="R38" i="1"/>
  <c r="R64" i="1" s="1"/>
  <c r="N38" i="1"/>
  <c r="N64" i="1" s="1"/>
  <c r="Q35" i="1"/>
  <c r="Q61" i="1" s="1"/>
  <c r="M35" i="1"/>
  <c r="M61" i="1" s="1"/>
  <c r="S37" i="1"/>
  <c r="S63" i="1" s="1"/>
  <c r="O37" i="1"/>
  <c r="O63" i="1" s="1"/>
  <c r="P38" i="1"/>
  <c r="P64" i="1" s="1"/>
  <c r="P39" i="1"/>
  <c r="P65" i="1" s="1"/>
  <c r="P35" i="1"/>
  <c r="P61" i="1" s="1"/>
  <c r="L35" i="1"/>
  <c r="L61" i="1" s="1"/>
  <c r="S35" i="1"/>
  <c r="S61" i="1" s="1"/>
  <c r="O35" i="1"/>
  <c r="O61" i="1" s="1"/>
  <c r="K35" i="1"/>
  <c r="K61" i="1" s="1"/>
  <c r="Q37" i="1"/>
  <c r="Q63" i="1" s="1"/>
  <c r="M37" i="1"/>
  <c r="M63" i="1" s="1"/>
  <c r="R39" i="1"/>
  <c r="R65" i="1" s="1"/>
  <c r="R33" i="1"/>
  <c r="R59" i="1" s="1"/>
  <c r="J62" i="1"/>
  <c r="AB11" i="1" s="1"/>
  <c r="P34" i="1"/>
  <c r="P60" i="1" s="1"/>
  <c r="Q33" i="1"/>
  <c r="Q59" i="1" s="1"/>
  <c r="M33" i="1"/>
  <c r="M59" i="1" s="1"/>
  <c r="I33" i="1"/>
  <c r="I59" i="1" s="1"/>
  <c r="I62" i="1"/>
  <c r="AA11" i="1" s="1"/>
  <c r="S34" i="1"/>
  <c r="S60" i="1" s="1"/>
  <c r="O34" i="1"/>
  <c r="O60" i="1" s="1"/>
  <c r="K34" i="1"/>
  <c r="K60" i="1" s="1"/>
  <c r="G34" i="1"/>
  <c r="G60" i="1" s="1"/>
  <c r="P37" i="1"/>
  <c r="P63" i="1" s="1"/>
  <c r="Q38" i="1"/>
  <c r="Q64" i="1" s="1"/>
  <c r="Q39" i="1"/>
  <c r="Q65" i="1" s="1"/>
  <c r="M65" i="1"/>
  <c r="AE11" i="1" s="1"/>
  <c r="R67" i="1"/>
  <c r="AJ11" i="1" s="1"/>
  <c r="P33" i="1"/>
  <c r="P59" i="1" s="1"/>
  <c r="H33" i="1"/>
  <c r="H59" i="1" s="1"/>
  <c r="H62" i="1"/>
  <c r="Z11" i="1" s="1"/>
  <c r="R34" i="1"/>
  <c r="R60" i="1" s="1"/>
  <c r="J34" i="1"/>
  <c r="J60" i="1" s="1"/>
  <c r="K63" i="1"/>
  <c r="AC11" i="1" s="1"/>
  <c r="L64" i="1"/>
  <c r="AD11" i="1" s="1"/>
  <c r="Q67" i="1"/>
  <c r="AI11" i="1" s="1"/>
  <c r="G33" i="1"/>
  <c r="G59" i="1" s="1"/>
  <c r="L33" i="1"/>
  <c r="L59" i="1" s="1"/>
  <c r="N34" i="1"/>
  <c r="N60" i="1" s="1"/>
  <c r="S33" i="1"/>
  <c r="S59" i="1" s="1"/>
  <c r="O33" i="1"/>
  <c r="O59" i="1" s="1"/>
  <c r="K33" i="1"/>
  <c r="K59" i="1" s="1"/>
  <c r="Y12" i="1"/>
  <c r="G62" i="1"/>
  <c r="Y11" i="1" s="1"/>
  <c r="Q34" i="1"/>
  <c r="Q60" i="1" s="1"/>
  <c r="M34" i="1"/>
  <c r="M60" i="1" s="1"/>
  <c r="I34" i="1"/>
  <c r="I60" i="1" s="1"/>
  <c r="R37" i="1"/>
  <c r="R63" i="1" s="1"/>
  <c r="N37" i="1"/>
  <c r="N63" i="1" s="1"/>
  <c r="S38" i="1"/>
  <c r="S64" i="1" s="1"/>
  <c r="O38" i="1"/>
  <c r="O64" i="1" s="1"/>
  <c r="S39" i="1"/>
  <c r="S65" i="1" s="1"/>
  <c r="O39" i="1"/>
  <c r="O65" i="1" s="1"/>
  <c r="N66" i="1"/>
  <c r="AF11" i="1" s="1"/>
  <c r="P67" i="1"/>
  <c r="AH11" i="1" s="1"/>
  <c r="N33" i="1"/>
  <c r="N59" i="1" s="1"/>
  <c r="J33" i="1"/>
  <c r="J59" i="1" s="1"/>
  <c r="L34" i="1"/>
  <c r="L60" i="1" s="1"/>
  <c r="H34" i="1"/>
  <c r="H60" i="1" s="1"/>
  <c r="S67" i="1"/>
  <c r="AK11" i="1" s="1"/>
  <c r="O67" i="1"/>
  <c r="AG11" i="1" s="1"/>
  <c r="G20" i="2" l="1"/>
  <c r="H19" i="2"/>
  <c r="H31" i="2"/>
  <c r="I30" i="2"/>
  <c r="H9" i="2"/>
  <c r="I8" i="2"/>
  <c r="F6" i="1"/>
  <c r="F34" i="1"/>
  <c r="F60" i="1" s="1"/>
  <c r="T67" i="1"/>
  <c r="AL11" i="1" s="1"/>
  <c r="T12" i="1"/>
  <c r="T40" i="1"/>
  <c r="T66" i="1" s="1"/>
  <c r="Y13" i="1"/>
  <c r="Z12" i="1"/>
  <c r="J30" i="2" l="1"/>
  <c r="I31" i="2"/>
  <c r="J8" i="2"/>
  <c r="I9" i="2"/>
  <c r="I19" i="2"/>
  <c r="H20" i="2"/>
  <c r="F5" i="1"/>
  <c r="F33" i="1"/>
  <c r="F59" i="1" s="1"/>
  <c r="T11" i="1"/>
  <c r="T39" i="1"/>
  <c r="T65" i="1" s="1"/>
  <c r="AA12" i="1"/>
  <c r="Z13" i="1"/>
  <c r="K8" i="2" l="1"/>
  <c r="J9" i="2"/>
  <c r="J19" i="2"/>
  <c r="I20" i="2"/>
  <c r="K30" i="2"/>
  <c r="J31" i="2"/>
  <c r="F31" i="1"/>
  <c r="F57" i="1" s="1"/>
  <c r="X24" i="1" s="1"/>
  <c r="F32" i="1"/>
  <c r="F58" i="1" s="1"/>
  <c r="G5" i="1"/>
  <c r="T10" i="1"/>
  <c r="T38" i="1"/>
  <c r="T64" i="1" s="1"/>
  <c r="AB12" i="1"/>
  <c r="AA13" i="1"/>
  <c r="K31" i="2" l="1"/>
  <c r="L30" i="2"/>
  <c r="K9" i="2"/>
  <c r="L8" i="2"/>
  <c r="J20" i="2"/>
  <c r="K19" i="2"/>
  <c r="Y25" i="1"/>
  <c r="H5" i="1"/>
  <c r="G32" i="1"/>
  <c r="G58" i="1" s="1"/>
  <c r="G31" i="1"/>
  <c r="G57" i="1" s="1"/>
  <c r="Y24" i="1" s="1"/>
  <c r="T9" i="1"/>
  <c r="T37" i="1"/>
  <c r="T63" i="1" s="1"/>
  <c r="AC12" i="1"/>
  <c r="AB13" i="1"/>
  <c r="L9" i="2" l="1"/>
  <c r="M8" i="2"/>
  <c r="K20" i="2"/>
  <c r="L19" i="2"/>
  <c r="L31" i="2"/>
  <c r="M30" i="2"/>
  <c r="Y26" i="1"/>
  <c r="I5" i="1"/>
  <c r="H32" i="1"/>
  <c r="H58" i="1" s="1"/>
  <c r="H31" i="1"/>
  <c r="H57" i="1" s="1"/>
  <c r="Z24" i="1" s="1"/>
  <c r="Z25" i="1" s="1"/>
  <c r="T8" i="1"/>
  <c r="T36" i="1"/>
  <c r="T62" i="1" s="1"/>
  <c r="AL24" i="1" s="1"/>
  <c r="AC13" i="1"/>
  <c r="AD12" i="1"/>
  <c r="M19" i="2" l="1"/>
  <c r="L20" i="2"/>
  <c r="N30" i="2"/>
  <c r="M31" i="2"/>
  <c r="N8" i="2"/>
  <c r="M9" i="2"/>
  <c r="Z26" i="1"/>
  <c r="J5" i="1"/>
  <c r="I32" i="1"/>
  <c r="I58" i="1" s="1"/>
  <c r="I31" i="1"/>
  <c r="I57" i="1" s="1"/>
  <c r="AA24" i="1" s="1"/>
  <c r="AA25" i="1" s="1"/>
  <c r="T7" i="1"/>
  <c r="T35" i="1"/>
  <c r="T61" i="1" s="1"/>
  <c r="AD13" i="1"/>
  <c r="AE12" i="1"/>
  <c r="O8" i="2" l="1"/>
  <c r="N9" i="2"/>
  <c r="N19" i="2"/>
  <c r="M20" i="2"/>
  <c r="O30" i="2"/>
  <c r="N31" i="2"/>
  <c r="AA26" i="1"/>
  <c r="K5" i="1"/>
  <c r="J32" i="1"/>
  <c r="J58" i="1" s="1"/>
  <c r="J31" i="1"/>
  <c r="J57" i="1" s="1"/>
  <c r="AB24" i="1" s="1"/>
  <c r="AB25" i="1" s="1"/>
  <c r="T6" i="1"/>
  <c r="T33" i="1" s="1"/>
  <c r="T59" i="1" s="1"/>
  <c r="T34" i="1"/>
  <c r="T60" i="1" s="1"/>
  <c r="AF12" i="1"/>
  <c r="AE13" i="1"/>
  <c r="O31" i="2" l="1"/>
  <c r="P30" i="2"/>
  <c r="P31" i="2" s="1"/>
  <c r="O9" i="2"/>
  <c r="P8" i="2"/>
  <c r="P9" i="2" s="1"/>
  <c r="N20" i="2"/>
  <c r="O19" i="2"/>
  <c r="AB26" i="1"/>
  <c r="L5" i="1"/>
  <c r="K32" i="1"/>
  <c r="K58" i="1" s="1"/>
  <c r="K31" i="1"/>
  <c r="K57" i="1" s="1"/>
  <c r="AC24" i="1" s="1"/>
  <c r="AC25" i="1" s="1"/>
  <c r="AG12" i="1"/>
  <c r="AF13" i="1"/>
  <c r="O20" i="2" l="1"/>
  <c r="P19" i="2"/>
  <c r="P20" i="2" s="1"/>
  <c r="AC26" i="1"/>
  <c r="M5" i="1"/>
  <c r="L31" i="1"/>
  <c r="L57" i="1" s="1"/>
  <c r="AD24" i="1" s="1"/>
  <c r="AD25" i="1" s="1"/>
  <c r="L32" i="1"/>
  <c r="L58" i="1" s="1"/>
  <c r="AG13" i="1"/>
  <c r="AH12" i="1"/>
  <c r="AD26" i="1" l="1"/>
  <c r="N5" i="1"/>
  <c r="M31" i="1"/>
  <c r="M57" i="1" s="1"/>
  <c r="AE24" i="1" s="1"/>
  <c r="AE25" i="1" s="1"/>
  <c r="M32" i="1"/>
  <c r="M58" i="1" s="1"/>
  <c r="AH13" i="1"/>
  <c r="AI12" i="1"/>
  <c r="AE26" i="1" l="1"/>
  <c r="O5" i="1"/>
  <c r="N31" i="1"/>
  <c r="N57" i="1" s="1"/>
  <c r="AF24" i="1" s="1"/>
  <c r="AF25" i="1" s="1"/>
  <c r="N32" i="1"/>
  <c r="N58" i="1" s="1"/>
  <c r="AJ12" i="1"/>
  <c r="AI13" i="1"/>
  <c r="AG25" i="1" l="1"/>
  <c r="AF26" i="1"/>
  <c r="P5" i="1"/>
  <c r="O31" i="1"/>
  <c r="O57" i="1" s="1"/>
  <c r="AG24" i="1" s="1"/>
  <c r="O32" i="1"/>
  <c r="O58" i="1" s="1"/>
  <c r="AK12" i="1"/>
  <c r="AJ13" i="1"/>
  <c r="AH25" i="1" l="1"/>
  <c r="AG26" i="1"/>
  <c r="Q5" i="1"/>
  <c r="P32" i="1"/>
  <c r="P58" i="1" s="1"/>
  <c r="P31" i="1"/>
  <c r="P57" i="1" s="1"/>
  <c r="AH24" i="1" s="1"/>
  <c r="AK13" i="1"/>
  <c r="AL12" i="1"/>
  <c r="AL13" i="1" s="1"/>
  <c r="AI25" i="1" l="1"/>
  <c r="AH26" i="1"/>
  <c r="R5" i="1"/>
  <c r="Q32" i="1"/>
  <c r="Q58" i="1" s="1"/>
  <c r="Q31" i="1"/>
  <c r="Q57" i="1" s="1"/>
  <c r="AI24" i="1" s="1"/>
  <c r="AI26" i="1" l="1"/>
  <c r="S5" i="1"/>
  <c r="R31" i="1"/>
  <c r="R57" i="1" s="1"/>
  <c r="AJ24" i="1" s="1"/>
  <c r="AJ25" i="1" s="1"/>
  <c r="R32" i="1"/>
  <c r="R58" i="1" s="1"/>
  <c r="AJ26" i="1" l="1"/>
  <c r="T5" i="1"/>
  <c r="S32" i="1"/>
  <c r="S58" i="1" s="1"/>
  <c r="S31" i="1"/>
  <c r="S57" i="1" s="1"/>
  <c r="AK24" i="1" s="1"/>
  <c r="AK25" i="1" s="1"/>
  <c r="AK26" i="1" l="1"/>
  <c r="AL25" i="1"/>
  <c r="AL26" i="1" s="1"/>
  <c r="T31" i="1"/>
  <c r="T57" i="1" s="1"/>
  <c r="T32" i="1"/>
  <c r="T58" i="1" s="1"/>
</calcChain>
</file>

<file path=xl/sharedStrings.xml><?xml version="1.0" encoding="utf-8"?>
<sst xmlns="http://schemas.openxmlformats.org/spreadsheetml/2006/main" count="57" uniqueCount="21">
  <si>
    <t>dx=dy</t>
  </si>
  <si>
    <t>V_in</t>
  </si>
  <si>
    <t>p_in</t>
  </si>
  <si>
    <t>V_out</t>
  </si>
  <si>
    <t>n_iter</t>
  </si>
  <si>
    <t>N_L</t>
  </si>
  <si>
    <t>N_H</t>
  </si>
  <si>
    <t>start_Row</t>
  </si>
  <si>
    <t>start_Columr</t>
  </si>
  <si>
    <t>ψ</t>
  </si>
  <si>
    <t>U</t>
  </si>
  <si>
    <t>V</t>
  </si>
  <si>
    <t>Magn(Velocity)</t>
  </si>
  <si>
    <t>x</t>
  </si>
  <si>
    <t>y</t>
  </si>
  <si>
    <t>Vel</t>
  </si>
  <si>
    <t>p</t>
  </si>
  <si>
    <t>Cp</t>
  </si>
  <si>
    <t>нижняя</t>
  </si>
  <si>
    <t>верхняя</t>
  </si>
  <si>
    <t>не поняла как вычислять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</si>
</sst>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0"/>
    <numFmt numFmtId="166" formatCode="0.00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2" fontId="0" fillId="2" borderId="0" xfId="0" applyNumberFormat="1" applyFill="1"/>
    <xf numFmtId="0" fontId="0" fillId="2" borderId="0" xfId="0" applyFill="1"/>
    <xf numFmtId="2" fontId="0" fillId="4" borderId="1" xfId="0" applyNumberFormat="1" applyFill="1" applyBorder="1"/>
    <xf numFmtId="2" fontId="0" fillId="5" borderId="1" xfId="0" applyNumberFormat="1" applyFill="1" applyBorder="1"/>
    <xf numFmtId="0" fontId="0" fillId="0" borderId="1" xfId="0" applyBorder="1"/>
    <xf numFmtId="2" fontId="0" fillId="4" borderId="2" xfId="0" applyNumberFormat="1" applyFill="1" applyBorder="1"/>
    <xf numFmtId="2" fontId="0" fillId="4" borderId="3" xfId="0" applyNumberFormat="1" applyFill="1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2" fontId="0" fillId="4" borderId="5" xfId="0" applyNumberFormat="1" applyFill="1" applyBorder="1"/>
    <xf numFmtId="0" fontId="0" fillId="4" borderId="0" xfId="0" applyFill="1" applyBorder="1"/>
    <xf numFmtId="0" fontId="0" fillId="2" borderId="0" xfId="0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1" fillId="0" borderId="1" xfId="0" applyFont="1" applyBorder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/>
    <xf numFmtId="0" fontId="0" fillId="4" borderId="0" xfId="0" applyFill="1"/>
    <xf numFmtId="0" fontId="0" fillId="4" borderId="0" xfId="0" applyFill="1" applyAlignment="1">
      <alignment horizontal="center"/>
    </xf>
    <xf numFmtId="2" fontId="0" fillId="3" borderId="1" xfId="0" applyNumberFormat="1" applyFill="1" applyBorder="1"/>
    <xf numFmtId="2" fontId="0" fillId="0" borderId="1" xfId="0" applyNumberFormat="1" applyBorder="1"/>
    <xf numFmtId="2" fontId="0" fillId="6" borderId="1" xfId="0" applyNumberFormat="1" applyFill="1" applyBorder="1"/>
    <xf numFmtId="164" fontId="0" fillId="0" borderId="1" xfId="0" applyNumberFormat="1" applyBorder="1" applyAlignment="1">
      <alignment horizontal="right" vertical="center"/>
    </xf>
    <xf numFmtId="164" fontId="0" fillId="0" borderId="8" xfId="0" applyNumberFormat="1" applyBorder="1" applyAlignment="1">
      <alignment horizontal="right" vertical="center"/>
    </xf>
    <xf numFmtId="2" fontId="0" fillId="0" borderId="1" xfId="0" applyNumberFormat="1" applyBorder="1" applyAlignment="1">
      <alignment horizontal="right" vertical="center"/>
    </xf>
    <xf numFmtId="2" fontId="0" fillId="0" borderId="10" xfId="0" applyNumberFormat="1" applyBorder="1" applyAlignment="1">
      <alignment horizontal="right" vertical="center"/>
    </xf>
    <xf numFmtId="0" fontId="0" fillId="6" borderId="7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/>
    </xf>
    <xf numFmtId="2" fontId="0" fillId="0" borderId="13" xfId="0" applyNumberFormat="1" applyBorder="1" applyAlignment="1">
      <alignment horizontal="right" vertical="center"/>
    </xf>
    <xf numFmtId="2" fontId="0" fillId="0" borderId="14" xfId="0" applyNumberFormat="1" applyBorder="1" applyAlignment="1">
      <alignment horizontal="right" vertical="center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6" xfId="0" applyBorder="1" applyAlignment="1">
      <alignment horizontal="center"/>
    </xf>
    <xf numFmtId="164" fontId="0" fillId="0" borderId="12" xfId="0" applyNumberFormat="1" applyBorder="1" applyAlignment="1">
      <alignment horizontal="right" vertical="center"/>
    </xf>
    <xf numFmtId="2" fontId="0" fillId="0" borderId="20" xfId="0" applyNumberFormat="1" applyBorder="1" applyAlignment="1">
      <alignment horizontal="right" vertical="center"/>
    </xf>
    <xf numFmtId="164" fontId="0" fillId="0" borderId="21" xfId="0" applyNumberFormat="1" applyBorder="1" applyAlignment="1">
      <alignment horizontal="right" vertical="center"/>
    </xf>
    <xf numFmtId="2" fontId="0" fillId="0" borderId="22" xfId="0" applyNumberFormat="1" applyBorder="1" applyAlignment="1">
      <alignment horizontal="right" vertical="center"/>
    </xf>
    <xf numFmtId="164" fontId="0" fillId="3" borderId="11" xfId="0" applyNumberFormat="1" applyFill="1" applyBorder="1" applyAlignment="1">
      <alignment horizontal="center"/>
    </xf>
    <xf numFmtId="164" fontId="0" fillId="6" borderId="7" xfId="0" applyNumberFormat="1" applyFill="1" applyBorder="1" applyAlignment="1">
      <alignment horizontal="center" vertical="center"/>
    </xf>
    <xf numFmtId="164" fontId="0" fillId="6" borderId="9" xfId="0" applyNumberFormat="1" applyFill="1" applyBorder="1" applyAlignment="1">
      <alignment horizontal="center" vertical="center"/>
    </xf>
    <xf numFmtId="164" fontId="0" fillId="0" borderId="10" xfId="0" applyNumberFormat="1" applyBorder="1" applyAlignment="1">
      <alignment horizontal="right" vertical="center"/>
    </xf>
    <xf numFmtId="164" fontId="0" fillId="0" borderId="20" xfId="0" applyNumberFormat="1" applyBorder="1" applyAlignment="1">
      <alignment horizontal="right" vertical="center"/>
    </xf>
    <xf numFmtId="164" fontId="0" fillId="0" borderId="22" xfId="0" applyNumberFormat="1" applyBorder="1" applyAlignment="1">
      <alignment horizontal="right" vertical="center"/>
    </xf>
    <xf numFmtId="1" fontId="0" fillId="0" borderId="18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1" fontId="0" fillId="0" borderId="16" xfId="0" applyNumberFormat="1" applyBorder="1" applyAlignment="1">
      <alignment horizontal="center"/>
    </xf>
    <xf numFmtId="165" fontId="0" fillId="0" borderId="1" xfId="0" applyNumberFormat="1" applyBorder="1" applyAlignment="1">
      <alignment horizontal="right" vertical="center"/>
    </xf>
    <xf numFmtId="165" fontId="0" fillId="0" borderId="12" xfId="0" applyNumberFormat="1" applyBorder="1" applyAlignment="1">
      <alignment horizontal="right" vertical="center"/>
    </xf>
    <xf numFmtId="165" fontId="0" fillId="0" borderId="8" xfId="0" applyNumberFormat="1" applyBorder="1" applyAlignment="1">
      <alignment horizontal="right" vertical="center"/>
    </xf>
    <xf numFmtId="166" fontId="0" fillId="0" borderId="1" xfId="0" applyNumberFormat="1" applyBorder="1" applyAlignment="1">
      <alignment horizontal="right" vertical="center"/>
    </xf>
    <xf numFmtId="2" fontId="0" fillId="4" borderId="1" xfId="0" applyNumberForma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v>верхняя стенка</c:v>
          </c:tx>
          <c:spPr>
            <a:ln w="25400" cap="rnd">
              <a:solidFill>
                <a:srgbClr val="0070C0"/>
              </a:solidFill>
              <a:round/>
            </a:ln>
            <a:effectLst>
              <a:softEdge rad="0"/>
            </a:effectLst>
          </c:spPr>
          <c:marker>
            <c:symbol val="none"/>
          </c:marker>
          <c:xVal>
            <c:numRef>
              <c:f>Лист1!$X$20:$AL$20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Лист1!$X$26:$AL$26</c:f>
              <c:numCache>
                <c:formatCode>0.00</c:formatCode>
                <c:ptCount val="15"/>
                <c:pt idx="0">
                  <c:v>0</c:v>
                </c:pt>
                <c:pt idx="1">
                  <c:v>2.814378991664853E-2</c:v>
                </c:pt>
                <c:pt idx="2">
                  <c:v>6.3816182313603351E-2</c:v>
                </c:pt>
                <c:pt idx="3">
                  <c:v>0.11458768882934237</c:v>
                </c:pt>
                <c:pt idx="4">
                  <c:v>0.18568972838867923</c:v>
                </c:pt>
                <c:pt idx="5">
                  <c:v>0.27485146726161475</c:v>
                </c:pt>
                <c:pt idx="6">
                  <c:v>0.36820606183639026</c:v>
                </c:pt>
                <c:pt idx="7">
                  <c:v>0.45398914311896077</c:v>
                </c:pt>
                <c:pt idx="8">
                  <c:v>0.52678677464777135</c:v>
                </c:pt>
                <c:pt idx="9">
                  <c:v>0.58591183465323415</c:v>
                </c:pt>
                <c:pt idx="10">
                  <c:v>0.63302379465225389</c:v>
                </c:pt>
                <c:pt idx="11">
                  <c:v>0.67058625551435402</c:v>
                </c:pt>
                <c:pt idx="12">
                  <c:v>0.70112116351141596</c:v>
                </c:pt>
                <c:pt idx="13">
                  <c:v>0.72692518652824223</c:v>
                </c:pt>
                <c:pt idx="14">
                  <c:v>0.74338038798363415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5CD7-4904-8657-05C895701B8F}"/>
            </c:ext>
          </c:extLst>
        </c:ser>
        <c:ser>
          <c:idx val="0"/>
          <c:order val="1"/>
          <c:tx>
            <c:v>нижняя стенка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Лист1!$X$7:$AL$7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Лист1!$X$13:$AL$13</c:f>
              <c:numCache>
                <c:formatCode>0.00</c:formatCode>
                <c:ptCount val="15"/>
                <c:pt idx="0">
                  <c:v>0</c:v>
                </c:pt>
                <c:pt idx="1">
                  <c:v>-3.573707848699996E-2</c:v>
                </c:pt>
                <c:pt idx="2">
                  <c:v>-9.1033932720019944E-2</c:v>
                </c:pt>
                <c:pt idx="3">
                  <c:v>-0.20357090939680347</c:v>
                </c:pt>
                <c:pt idx="4">
                  <c:v>-0.59334649230208014</c:v>
                </c:pt>
                <c:pt idx="5">
                  <c:v>0.30864063364133471</c:v>
                </c:pt>
                <c:pt idx="6">
                  <c:v>0.58970058582082852</c:v>
                </c:pt>
                <c:pt idx="7">
                  <c:v>0.74184417302196382</c:v>
                </c:pt>
                <c:pt idx="8">
                  <c:v>0.8536322763867793</c:v>
                </c:pt>
                <c:pt idx="9">
                  <c:v>0.95233497481531226</c:v>
                </c:pt>
                <c:pt idx="10">
                  <c:v>0.89241445561550792</c:v>
                </c:pt>
                <c:pt idx="11">
                  <c:v>0.84549092751200083</c:v>
                </c:pt>
                <c:pt idx="12">
                  <c:v>0.80891511523717785</c:v>
                </c:pt>
                <c:pt idx="13">
                  <c:v>0.77836961162684015</c:v>
                </c:pt>
                <c:pt idx="14">
                  <c:v>0.75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CD7-4904-8657-05C895701B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55456"/>
        <c:axId val="155161344"/>
      </c:scatterChart>
      <c:valAx>
        <c:axId val="15515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5161344"/>
        <c:crosses val="autoZero"/>
        <c:crossBetween val="midCat"/>
      </c:valAx>
      <c:valAx>
        <c:axId val="15516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5155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17</xdr:row>
          <xdr:rowOff>152400</xdr:rowOff>
        </xdr:from>
        <xdr:to>
          <xdr:col>2</xdr:col>
          <xdr:colOff>257175</xdr:colOff>
          <xdr:row>20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22</xdr:row>
          <xdr:rowOff>133350</xdr:rowOff>
        </xdr:from>
        <xdr:to>
          <xdr:col>2</xdr:col>
          <xdr:colOff>247650</xdr:colOff>
          <xdr:row>25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</a:t>
              </a: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219076</xdr:colOff>
      <xdr:row>12</xdr:row>
      <xdr:rowOff>114300</xdr:rowOff>
    </xdr:from>
    <xdr:to>
      <xdr:col>44</xdr:col>
      <xdr:colOff>161926</xdr:colOff>
      <xdr:row>28</xdr:row>
      <xdr:rowOff>49867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DFA459BD-F0F3-44B8-8B09-5149A17409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38</xdr:col>
      <xdr:colOff>200025</xdr:colOff>
      <xdr:row>12</xdr:row>
      <xdr:rowOff>95250</xdr:rowOff>
    </xdr:from>
    <xdr:ext cx="440530" cy="2381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19392900" y="2400300"/>
              <a:ext cx="440530" cy="238126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/>
                      </a:rPr>
                      <m:t>𝑪𝒑</m:t>
                    </m:r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19392900" y="2400300"/>
              <a:ext cx="440530" cy="238126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100" b="1" i="0">
                  <a:latin typeface="Cambria Math"/>
                </a:rPr>
                <a:t>𝑪𝒑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43</xdr:col>
      <xdr:colOff>188119</xdr:colOff>
      <xdr:row>21</xdr:row>
      <xdr:rowOff>28575</xdr:rowOff>
    </xdr:from>
    <xdr:ext cx="569117" cy="2286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/>
            <xdr:cNvSpPr txBox="1"/>
          </xdr:nvSpPr>
          <xdr:spPr>
            <a:xfrm>
              <a:off x="22428994" y="4067175"/>
              <a:ext cx="569117" cy="228601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 b="1" i="1"/>
                <a:t>x</a:t>
              </a:r>
              <a14:m>
                <m:oMath xmlns:m="http://schemas.openxmlformats.org/officeDocument/2006/math">
                  <m:r>
                    <a:rPr lang="en-US" sz="1100" b="1" i="1">
                      <a:latin typeface="Cambria Math"/>
                    </a:rPr>
                    <m:t>,[</m:t>
                  </m:r>
                  <m:r>
                    <a:rPr lang="ru-RU" sz="1100" b="1" i="1">
                      <a:latin typeface="Cambria Math"/>
                    </a:rPr>
                    <m:t>м</m:t>
                  </m:r>
                  <m:r>
                    <a:rPr lang="en-US" sz="1100" b="1" i="1">
                      <a:latin typeface="Cambria Math"/>
                    </a:rPr>
                    <m:t>]</m:t>
                  </m:r>
                </m:oMath>
              </a14:m>
              <a:endParaRPr lang="ru-RU" sz="1100" b="1" i="1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22428994" y="4067175"/>
              <a:ext cx="569117" cy="228601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 b="1" i="1"/>
                <a:t>x</a:t>
              </a:r>
              <a:r>
                <a:rPr lang="en-US" sz="1100" b="1" i="0">
                  <a:latin typeface="Cambria Math"/>
                </a:rPr>
                <a:t>,[</a:t>
              </a:r>
              <a:r>
                <a:rPr lang="ru-RU" sz="1100" b="1" i="0">
                  <a:latin typeface="Cambria Math"/>
                </a:rPr>
                <a:t>м</a:t>
              </a:r>
              <a:r>
                <a:rPr lang="en-US" sz="1100" b="1" i="0">
                  <a:latin typeface="Cambria Math"/>
                </a:rPr>
                <a:t>]</a:t>
              </a:r>
              <a:endParaRPr lang="ru-RU" sz="1100" b="1" i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2:AL68"/>
  <sheetViews>
    <sheetView tabSelected="1" topLeftCell="R1" workbookViewId="0">
      <selection activeCell="Z30" sqref="Z30"/>
    </sheetView>
  </sheetViews>
  <sheetFormatPr defaultRowHeight="15" x14ac:dyDescent="0.25"/>
  <cols>
    <col min="5" max="5" width="5.140625" customWidth="1"/>
    <col min="6" max="20" width="5.5703125" customWidth="1"/>
    <col min="21" max="21" width="3.7109375" customWidth="1"/>
    <col min="23" max="23" width="12.5703125" customWidth="1"/>
  </cols>
  <sheetData>
    <row r="2" spans="1:38" x14ac:dyDescent="0.25">
      <c r="A2" s="5" t="s">
        <v>0</v>
      </c>
      <c r="B2" s="5">
        <v>0.2</v>
      </c>
    </row>
    <row r="4" spans="1:38" ht="15.75" thickBot="1" x14ac:dyDescent="0.3">
      <c r="A4" s="5" t="s">
        <v>1</v>
      </c>
      <c r="B4" s="5">
        <v>10</v>
      </c>
      <c r="F4" s="2">
        <v>1</v>
      </c>
      <c r="G4" s="2">
        <v>2</v>
      </c>
      <c r="H4" s="2">
        <v>3</v>
      </c>
      <c r="I4" s="2">
        <v>4</v>
      </c>
      <c r="J4" s="2">
        <v>5</v>
      </c>
      <c r="K4" s="2">
        <v>6</v>
      </c>
      <c r="L4" s="2">
        <v>7</v>
      </c>
      <c r="M4" s="2">
        <v>8</v>
      </c>
      <c r="N4" s="2">
        <v>9</v>
      </c>
      <c r="O4" s="2">
        <v>10</v>
      </c>
      <c r="P4" s="2">
        <v>11</v>
      </c>
      <c r="Q4" s="2">
        <v>12</v>
      </c>
      <c r="R4" s="2">
        <v>13</v>
      </c>
      <c r="S4" s="2">
        <v>14</v>
      </c>
      <c r="T4" s="2">
        <v>15</v>
      </c>
      <c r="W4" t="s">
        <v>18</v>
      </c>
    </row>
    <row r="5" spans="1:38" ht="15.75" thickBot="1" x14ac:dyDescent="0.3">
      <c r="A5" s="5" t="s">
        <v>2</v>
      </c>
      <c r="B5" s="5">
        <v>101325</v>
      </c>
      <c r="D5" s="16" t="s">
        <v>9</v>
      </c>
      <c r="E5" s="14">
        <v>2</v>
      </c>
      <c r="F5" s="3">
        <f t="shared" ref="F5:F8" si="0">F6+$B$4*$B$2</f>
        <v>10</v>
      </c>
      <c r="G5" s="3">
        <f>F5</f>
        <v>10</v>
      </c>
      <c r="H5" s="3">
        <f t="shared" ref="H5:T5" si="1">G5</f>
        <v>10</v>
      </c>
      <c r="I5" s="3">
        <f t="shared" si="1"/>
        <v>10</v>
      </c>
      <c r="J5" s="3">
        <f t="shared" si="1"/>
        <v>10</v>
      </c>
      <c r="K5" s="3">
        <f t="shared" si="1"/>
        <v>10</v>
      </c>
      <c r="L5" s="3">
        <f t="shared" si="1"/>
        <v>10</v>
      </c>
      <c r="M5" s="3">
        <f t="shared" si="1"/>
        <v>10</v>
      </c>
      <c r="N5" s="3">
        <f t="shared" si="1"/>
        <v>10</v>
      </c>
      <c r="O5" s="3">
        <f t="shared" si="1"/>
        <v>10</v>
      </c>
      <c r="P5" s="3">
        <f t="shared" si="1"/>
        <v>10</v>
      </c>
      <c r="Q5" s="3">
        <f t="shared" si="1"/>
        <v>10</v>
      </c>
      <c r="R5" s="3">
        <f t="shared" si="1"/>
        <v>10</v>
      </c>
      <c r="S5" s="3">
        <f t="shared" si="1"/>
        <v>10</v>
      </c>
      <c r="T5" s="3">
        <f t="shared" si="1"/>
        <v>10</v>
      </c>
      <c r="U5" s="13">
        <v>11</v>
      </c>
      <c r="W5" s="30">
        <v>0</v>
      </c>
      <c r="X5" s="33">
        <v>1</v>
      </c>
      <c r="Y5" s="33">
        <v>2</v>
      </c>
      <c r="Z5" s="33">
        <v>3</v>
      </c>
      <c r="AA5" s="33">
        <v>4</v>
      </c>
      <c r="AB5" s="35">
        <v>5</v>
      </c>
      <c r="AC5" s="33">
        <v>6</v>
      </c>
      <c r="AD5" s="33">
        <v>7</v>
      </c>
      <c r="AE5" s="33">
        <v>8</v>
      </c>
      <c r="AF5" s="33">
        <v>9</v>
      </c>
      <c r="AG5" s="33">
        <v>10</v>
      </c>
      <c r="AH5" s="33">
        <v>11</v>
      </c>
      <c r="AI5" s="33">
        <v>12</v>
      </c>
      <c r="AJ5" s="33">
        <v>13</v>
      </c>
      <c r="AK5" s="33">
        <v>14</v>
      </c>
      <c r="AL5" s="34">
        <v>15</v>
      </c>
    </row>
    <row r="6" spans="1:38" x14ac:dyDescent="0.25">
      <c r="A6" s="5" t="s">
        <v>3</v>
      </c>
      <c r="B6" s="5">
        <f>((E5-E10)*B4)/(E5-E15)</f>
        <v>5</v>
      </c>
      <c r="D6" s="17"/>
      <c r="E6" s="14">
        <v>1.8</v>
      </c>
      <c r="F6" s="3">
        <f t="shared" si="0"/>
        <v>8</v>
      </c>
      <c r="G6" s="4">
        <f>0.25*(H19+F19+G18+G20)</f>
        <v>8.0283446446366185</v>
      </c>
      <c r="H6" s="4">
        <f t="shared" ref="H6:S6" si="2">0.25*(I19+G19+H18+H20)</f>
        <v>8.0648681515861966</v>
      </c>
      <c r="I6" s="4">
        <f t="shared" si="2"/>
        <v>8.1180729969834662</v>
      </c>
      <c r="J6" s="4">
        <f t="shared" si="2"/>
        <v>8.1952171636329254</v>
      </c>
      <c r="K6" s="4">
        <f t="shared" si="2"/>
        <v>8.2968869294864831</v>
      </c>
      <c r="L6" s="4">
        <f t="shared" si="2"/>
        <v>8.410290670388207</v>
      </c>
      <c r="M6" s="4">
        <f t="shared" si="2"/>
        <v>8.5221490509784452</v>
      </c>
      <c r="N6" s="4">
        <f t="shared" si="2"/>
        <v>8.6241900925606156</v>
      </c>
      <c r="O6" s="4">
        <f t="shared" si="2"/>
        <v>8.7130063475733497</v>
      </c>
      <c r="P6" s="4">
        <f t="shared" si="2"/>
        <v>8.7884287798932164</v>
      </c>
      <c r="Q6" s="4">
        <f t="shared" si="2"/>
        <v>8.8521084642083387</v>
      </c>
      <c r="R6" s="4">
        <f t="shared" si="2"/>
        <v>8.906603756200564</v>
      </c>
      <c r="S6" s="4">
        <f t="shared" si="2"/>
        <v>8.9548687862825673</v>
      </c>
      <c r="T6" s="3">
        <f t="shared" ref="T6:T13" si="3">T7+$B$6*$B$2</f>
        <v>9</v>
      </c>
      <c r="U6" s="13">
        <v>10</v>
      </c>
      <c r="W6" s="28" t="s">
        <v>9</v>
      </c>
      <c r="X6" s="26">
        <f>F10</f>
        <v>0</v>
      </c>
      <c r="Y6" s="26">
        <f t="shared" ref="Y6:AB6" si="4">G10</f>
        <v>0</v>
      </c>
      <c r="Z6" s="26">
        <f t="shared" si="4"/>
        <v>0</v>
      </c>
      <c r="AA6" s="26">
        <f t="shared" si="4"/>
        <v>0</v>
      </c>
      <c r="AB6" s="26">
        <f t="shared" si="4"/>
        <v>0</v>
      </c>
      <c r="AC6" s="26">
        <f>K11</f>
        <v>0</v>
      </c>
      <c r="AD6" s="26">
        <f>L12</f>
        <v>0</v>
      </c>
      <c r="AE6" s="26">
        <f>M13</f>
        <v>0</v>
      </c>
      <c r="AF6" s="26">
        <f>N14</f>
        <v>0</v>
      </c>
      <c r="AG6" s="26">
        <f>O15</f>
        <v>0</v>
      </c>
      <c r="AH6" s="26">
        <f t="shared" ref="AH6:AL6" si="5">P15</f>
        <v>0</v>
      </c>
      <c r="AI6" s="26">
        <f t="shared" si="5"/>
        <v>0</v>
      </c>
      <c r="AJ6" s="26">
        <f t="shared" si="5"/>
        <v>0</v>
      </c>
      <c r="AK6" s="26">
        <f t="shared" si="5"/>
        <v>0</v>
      </c>
      <c r="AL6" s="26">
        <f t="shared" si="5"/>
        <v>0</v>
      </c>
    </row>
    <row r="7" spans="1:38" x14ac:dyDescent="0.25">
      <c r="E7" s="14">
        <v>1.6</v>
      </c>
      <c r="F7" s="3">
        <f t="shared" si="0"/>
        <v>6</v>
      </c>
      <c r="G7" s="4">
        <f t="shared" ref="G7:S7" si="6">0.25*(H20+F20+G19+G21)</f>
        <v>6.0485104289698812</v>
      </c>
      <c r="H7" s="4">
        <f t="shared" si="6"/>
        <v>6.1130549688493172</v>
      </c>
      <c r="I7" s="4">
        <f t="shared" si="6"/>
        <v>6.2122066797623905</v>
      </c>
      <c r="J7" s="4">
        <f t="shared" si="6"/>
        <v>6.3659087381646478</v>
      </c>
      <c r="K7" s="4">
        <f t="shared" si="6"/>
        <v>6.5820398984502706</v>
      </c>
      <c r="L7" s="4">
        <f t="shared" si="6"/>
        <v>6.8221267191715942</v>
      </c>
      <c r="M7" s="4">
        <f t="shared" si="6"/>
        <v>7.0541154634856973</v>
      </c>
      <c r="N7" s="4">
        <f t="shared" si="6"/>
        <v>7.2616049958911679</v>
      </c>
      <c r="O7" s="4">
        <f t="shared" si="6"/>
        <v>7.4394065437434875</v>
      </c>
      <c r="P7" s="4">
        <f t="shared" si="6"/>
        <v>7.588600331446564</v>
      </c>
      <c r="Q7" s="4">
        <f t="shared" si="6"/>
        <v>7.7134013416527569</v>
      </c>
      <c r="R7" s="4">
        <f t="shared" si="6"/>
        <v>7.8194377890090223</v>
      </c>
      <c r="S7" s="4">
        <f t="shared" si="6"/>
        <v>7.9128713969669358</v>
      </c>
      <c r="T7" s="3">
        <f t="shared" si="3"/>
        <v>8</v>
      </c>
      <c r="U7" s="13">
        <v>9</v>
      </c>
      <c r="W7" s="28" t="s">
        <v>13</v>
      </c>
      <c r="X7" s="26">
        <v>0</v>
      </c>
      <c r="Y7" s="26">
        <v>0.2</v>
      </c>
      <c r="Z7" s="26">
        <v>0.4</v>
      </c>
      <c r="AA7" s="26">
        <v>0.6</v>
      </c>
      <c r="AB7" s="26">
        <v>0.8</v>
      </c>
      <c r="AC7" s="26">
        <v>1</v>
      </c>
      <c r="AD7" s="26">
        <v>1.2</v>
      </c>
      <c r="AE7" s="26">
        <v>1.4</v>
      </c>
      <c r="AF7" s="26">
        <v>1.6</v>
      </c>
      <c r="AG7" s="26">
        <v>1.8</v>
      </c>
      <c r="AH7" s="26">
        <v>2</v>
      </c>
      <c r="AI7" s="26">
        <v>2.2000000000000002</v>
      </c>
      <c r="AJ7" s="26">
        <v>2.4</v>
      </c>
      <c r="AK7" s="26">
        <v>2.6</v>
      </c>
      <c r="AL7" s="32">
        <v>2.8</v>
      </c>
    </row>
    <row r="8" spans="1:38" x14ac:dyDescent="0.25">
      <c r="E8" s="14">
        <v>1.4</v>
      </c>
      <c r="F8" s="3">
        <f t="shared" si="0"/>
        <v>4</v>
      </c>
      <c r="G8" s="4">
        <f t="shared" ref="G8:S8" si="7">0.25*(H21+F21+G20+G22)</f>
        <v>4.0526421055919997</v>
      </c>
      <c r="H8" s="4">
        <f t="shared" si="7"/>
        <v>4.1266346221944961</v>
      </c>
      <c r="I8" s="4">
        <f t="shared" si="7"/>
        <v>4.2517900265063417</v>
      </c>
      <c r="J8" s="4">
        <f t="shared" si="7"/>
        <v>4.4741712288541633</v>
      </c>
      <c r="K8" s="4">
        <f t="shared" si="7"/>
        <v>4.8432372317227745</v>
      </c>
      <c r="L8" s="4">
        <f t="shared" si="7"/>
        <v>5.2420608782236018</v>
      </c>
      <c r="M8" s="4">
        <f t="shared" si="7"/>
        <v>5.6105811276833002</v>
      </c>
      <c r="N8" s="4">
        <f t="shared" si="7"/>
        <v>5.9287079302422629</v>
      </c>
      <c r="O8" s="4">
        <f t="shared" si="7"/>
        <v>6.1944145466012799</v>
      </c>
      <c r="P8" s="4">
        <f t="shared" si="7"/>
        <v>6.4131647064342978</v>
      </c>
      <c r="Q8" s="4">
        <f t="shared" si="7"/>
        <v>6.5934588198020414</v>
      </c>
      <c r="R8" s="4">
        <f t="shared" si="7"/>
        <v>6.7448746898961218</v>
      </c>
      <c r="S8" s="4">
        <f t="shared" si="7"/>
        <v>6.8771790271662683</v>
      </c>
      <c r="T8" s="3">
        <f t="shared" si="3"/>
        <v>7</v>
      </c>
      <c r="U8" s="13">
        <v>8</v>
      </c>
      <c r="W8" s="28" t="s">
        <v>14</v>
      </c>
      <c r="X8" s="26">
        <v>1</v>
      </c>
      <c r="Y8" s="26">
        <v>1</v>
      </c>
      <c r="Z8" s="26">
        <v>1</v>
      </c>
      <c r="AA8" s="26">
        <v>1</v>
      </c>
      <c r="AB8" s="26">
        <v>1</v>
      </c>
      <c r="AC8" s="26">
        <v>0.8</v>
      </c>
      <c r="AD8" s="26">
        <v>0.6</v>
      </c>
      <c r="AE8" s="26">
        <v>0.4</v>
      </c>
      <c r="AF8" s="26">
        <v>0.2</v>
      </c>
      <c r="AG8" s="26">
        <f t="shared" ref="AG8:AL8" si="8">N4</f>
        <v>9</v>
      </c>
      <c r="AH8" s="26">
        <f t="shared" si="8"/>
        <v>10</v>
      </c>
      <c r="AI8" s="26">
        <f t="shared" si="8"/>
        <v>11</v>
      </c>
      <c r="AJ8" s="26">
        <f t="shared" si="8"/>
        <v>12</v>
      </c>
      <c r="AK8" s="26">
        <f t="shared" si="8"/>
        <v>13</v>
      </c>
      <c r="AL8" s="31">
        <f t="shared" si="8"/>
        <v>14</v>
      </c>
    </row>
    <row r="9" spans="1:38" x14ac:dyDescent="0.25">
      <c r="E9" s="14">
        <v>1.2</v>
      </c>
      <c r="F9" s="3">
        <f>F10+$B$4*$B$2</f>
        <v>2</v>
      </c>
      <c r="G9" s="4">
        <f t="shared" ref="G9:S14" si="9">0.25*(H22+F22+G21+G23)</f>
        <v>2.0354233746195227</v>
      </c>
      <c r="H9" s="4">
        <f t="shared" si="9"/>
        <v>2.0890513949828047</v>
      </c>
      <c r="I9" s="4">
        <f t="shared" si="9"/>
        <v>2.1941475879226786</v>
      </c>
      <c r="J9" s="4">
        <f t="shared" si="9"/>
        <v>2.4357489384636093</v>
      </c>
      <c r="K9" s="4">
        <f t="shared" si="9"/>
        <v>3.0746769519598747</v>
      </c>
      <c r="L9" s="4">
        <f t="shared" si="9"/>
        <v>3.6922984750983376</v>
      </c>
      <c r="M9" s="4">
        <f t="shared" si="9"/>
        <v>4.2174402919193685</v>
      </c>
      <c r="N9" s="4">
        <f t="shared" si="9"/>
        <v>4.6482311096005819</v>
      </c>
      <c r="O9" s="4">
        <f t="shared" si="9"/>
        <v>4.9963790701570057</v>
      </c>
      <c r="P9" s="4">
        <f t="shared" si="9"/>
        <v>5.2761851872355647</v>
      </c>
      <c r="Q9" s="4">
        <f t="shared" si="9"/>
        <v>5.5023945941261792</v>
      </c>
      <c r="R9" s="4">
        <f t="shared" si="9"/>
        <v>5.6894231609758679</v>
      </c>
      <c r="S9" s="4">
        <f t="shared" si="9"/>
        <v>5.8509700422934783</v>
      </c>
      <c r="T9" s="3">
        <f t="shared" si="3"/>
        <v>6</v>
      </c>
      <c r="U9" s="13">
        <v>7</v>
      </c>
      <c r="W9" s="28" t="s">
        <v>10</v>
      </c>
      <c r="X9" s="26">
        <f>F36</f>
        <v>10</v>
      </c>
      <c r="Y9" s="26">
        <f t="shared" ref="Y9:AL9" si="10">G36</f>
        <v>10.177116873097614</v>
      </c>
      <c r="Z9" s="26">
        <f t="shared" si="10"/>
        <v>10.445256974914022</v>
      </c>
      <c r="AA9" s="26">
        <f t="shared" si="10"/>
        <v>10.970737939613393</v>
      </c>
      <c r="AB9" s="26">
        <f t="shared" si="10"/>
        <v>12.178744692318046</v>
      </c>
      <c r="AC9" s="26">
        <f t="shared" si="10"/>
        <v>7.6866923798996867</v>
      </c>
      <c r="AD9" s="26">
        <f t="shared" si="10"/>
        <v>6.7265183345457746</v>
      </c>
      <c r="AE9" s="26">
        <f t="shared" si="10"/>
        <v>6.1142288214628193</v>
      </c>
      <c r="AF9" s="26">
        <f t="shared" si="10"/>
        <v>5.7005233057083231</v>
      </c>
      <c r="AG9" s="26">
        <f t="shared" si="10"/>
        <v>5.4230392632791835</v>
      </c>
      <c r="AH9" s="26">
        <f t="shared" si="10"/>
        <v>5.2458932213155851</v>
      </c>
      <c r="AI9" s="26">
        <f t="shared" si="10"/>
        <v>5.1374996757248104</v>
      </c>
      <c r="AJ9" s="26">
        <f t="shared" si="10"/>
        <v>5.0720552513052564</v>
      </c>
      <c r="AK9" s="26">
        <f t="shared" si="10"/>
        <v>5.0307035188443443</v>
      </c>
      <c r="AL9" s="26">
        <f t="shared" si="10"/>
        <v>5</v>
      </c>
    </row>
    <row r="10" spans="1:38" x14ac:dyDescent="0.25">
      <c r="A10" s="5" t="s">
        <v>4</v>
      </c>
      <c r="B10" s="5">
        <v>300</v>
      </c>
      <c r="E10" s="14">
        <v>1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4">
        <f t="shared" si="9"/>
        <v>1.3274231890832664</v>
      </c>
      <c r="L10" s="4">
        <f t="shared" si="9"/>
        <v>2.2350158206024506</v>
      </c>
      <c r="M10" s="4">
        <f t="shared" si="9"/>
        <v>2.9186505095593542</v>
      </c>
      <c r="N10" s="4">
        <f t="shared" si="9"/>
        <v>3.4503972128945914</v>
      </c>
      <c r="O10" s="4">
        <f t="shared" si="9"/>
        <v>3.8666855063401755</v>
      </c>
      <c r="P10" s="4">
        <f t="shared" si="9"/>
        <v>4.1928024479233219</v>
      </c>
      <c r="Q10" s="4">
        <f t="shared" si="9"/>
        <v>4.4505112666921081</v>
      </c>
      <c r="R10" s="4">
        <f t="shared" si="9"/>
        <v>4.6594533620403888</v>
      </c>
      <c r="S10" s="4">
        <f t="shared" si="9"/>
        <v>4.8372780037441734</v>
      </c>
      <c r="T10" s="3">
        <f t="shared" si="3"/>
        <v>5</v>
      </c>
      <c r="U10" s="13">
        <v>6</v>
      </c>
      <c r="W10" s="28" t="s">
        <v>11</v>
      </c>
      <c r="X10" s="26">
        <f>F49</f>
        <v>0</v>
      </c>
      <c r="Y10" s="26">
        <f t="shared" ref="Y10:AA10" si="11">G49</f>
        <v>0</v>
      </c>
      <c r="Z10" s="26">
        <f t="shared" si="11"/>
        <v>0</v>
      </c>
      <c r="AA10" s="26">
        <f t="shared" si="11"/>
        <v>0</v>
      </c>
      <c r="AB10" s="26">
        <f>J49</f>
        <v>-3.3185579623607198</v>
      </c>
      <c r="AC10" s="26">
        <f>K50</f>
        <v>-5.0084557064001389</v>
      </c>
      <c r="AD10" s="26">
        <f>L51</f>
        <v>-3.9931582556852718</v>
      </c>
      <c r="AE10" s="26">
        <f>M52</f>
        <v>-3.1416985601510459</v>
      </c>
      <c r="AF10" s="26">
        <f>N53</f>
        <v>-2.1832321265666876</v>
      </c>
      <c r="AG10" s="26">
        <f>O54</f>
        <v>0</v>
      </c>
      <c r="AH10" s="26">
        <f t="shared" ref="AH10:AL10" si="12">P54</f>
        <v>0</v>
      </c>
      <c r="AI10" s="26">
        <f t="shared" si="12"/>
        <v>0</v>
      </c>
      <c r="AJ10" s="26">
        <f t="shared" si="12"/>
        <v>0</v>
      </c>
      <c r="AK10" s="26">
        <f t="shared" si="12"/>
        <v>0</v>
      </c>
      <c r="AL10" s="26">
        <f t="shared" si="12"/>
        <v>0</v>
      </c>
    </row>
    <row r="11" spans="1:38" x14ac:dyDescent="0.25">
      <c r="E11" s="14">
        <v>0.8</v>
      </c>
      <c r="F11" s="9"/>
      <c r="G11" s="9"/>
      <c r="H11" s="9"/>
      <c r="I11" s="9"/>
      <c r="J11" s="10"/>
      <c r="K11" s="11">
        <v>0</v>
      </c>
      <c r="L11" s="4">
        <f t="shared" si="9"/>
        <v>1.0016911412800278</v>
      </c>
      <c r="M11" s="4">
        <f t="shared" si="9"/>
        <v>1.7717487633342408</v>
      </c>
      <c r="N11" s="4">
        <f t="shared" si="9"/>
        <v>2.3680217873172524</v>
      </c>
      <c r="O11" s="4">
        <f t="shared" si="9"/>
        <v>2.8271633648453323</v>
      </c>
      <c r="P11" s="4">
        <f t="shared" si="9"/>
        <v>3.1778278987093307</v>
      </c>
      <c r="Q11" s="4">
        <f t="shared" si="9"/>
        <v>3.447394723836255</v>
      </c>
      <c r="R11" s="4">
        <f t="shared" si="9"/>
        <v>3.6606010604537653</v>
      </c>
      <c r="S11" s="4">
        <f t="shared" si="9"/>
        <v>3.8386886347557403</v>
      </c>
      <c r="T11" s="3">
        <f t="shared" si="3"/>
        <v>4</v>
      </c>
      <c r="U11" s="13">
        <v>5</v>
      </c>
      <c r="W11" s="28" t="s">
        <v>15</v>
      </c>
      <c r="X11" s="26">
        <f>F62</f>
        <v>10</v>
      </c>
      <c r="Y11" s="26">
        <f t="shared" ref="Y11:AB11" si="13">G62</f>
        <v>10.177116873097614</v>
      </c>
      <c r="Z11" s="26">
        <f t="shared" si="13"/>
        <v>10.445256974914022</v>
      </c>
      <c r="AA11" s="26">
        <f t="shared" si="13"/>
        <v>10.970737939613393</v>
      </c>
      <c r="AB11" s="26">
        <f t="shared" si="13"/>
        <v>12.622782943163235</v>
      </c>
      <c r="AC11" s="26">
        <f>K63</f>
        <v>8.3148022607799792</v>
      </c>
      <c r="AD11" s="26">
        <f>L64</f>
        <v>6.4054618426714214</v>
      </c>
      <c r="AE11" s="26">
        <f>M65</f>
        <v>5.0809037284525083</v>
      </c>
      <c r="AF11" s="26">
        <f>N66</f>
        <v>3.8258034922520596</v>
      </c>
      <c r="AG11" s="26">
        <f>O67</f>
        <v>2.1832321265666876</v>
      </c>
      <c r="AH11" s="26">
        <f t="shared" ref="AH11:AL11" si="14">P67</f>
        <v>3.280023542360484</v>
      </c>
      <c r="AI11" s="26">
        <f t="shared" si="14"/>
        <v>3.9307642067166197</v>
      </c>
      <c r="AJ11" s="26">
        <f t="shared" si="14"/>
        <v>4.371325711529737</v>
      </c>
      <c r="AK11" s="26">
        <f t="shared" si="14"/>
        <v>4.7077636768750581</v>
      </c>
      <c r="AL11" s="26">
        <f t="shared" si="14"/>
        <v>5</v>
      </c>
    </row>
    <row r="12" spans="1:38" x14ac:dyDescent="0.25">
      <c r="A12" s="5" t="s">
        <v>5</v>
      </c>
      <c r="B12" s="5">
        <v>15</v>
      </c>
      <c r="E12" s="14">
        <v>0.6</v>
      </c>
      <c r="F12" s="8"/>
      <c r="G12" s="8"/>
      <c r="H12" s="8"/>
      <c r="I12" s="8"/>
      <c r="J12" s="8"/>
      <c r="K12" s="10"/>
      <c r="L12" s="11">
        <v>0</v>
      </c>
      <c r="M12" s="4">
        <f t="shared" si="9"/>
        <v>0.79863165113705437</v>
      </c>
      <c r="N12" s="4">
        <f t="shared" si="9"/>
        <v>1.4227778605340755</v>
      </c>
      <c r="O12" s="4">
        <f t="shared" si="9"/>
        <v>1.8961183260978014</v>
      </c>
      <c r="P12" s="4">
        <f t="shared" si="9"/>
        <v>2.2439511207420244</v>
      </c>
      <c r="Q12" s="4">
        <f t="shared" si="9"/>
        <v>2.5006387231603595</v>
      </c>
      <c r="R12" s="4">
        <f t="shared" si="9"/>
        <v>2.6968675628275713</v>
      </c>
      <c r="S12" s="4">
        <f t="shared" si="9"/>
        <v>2.85687549627611</v>
      </c>
      <c r="T12" s="3">
        <f t="shared" si="3"/>
        <v>3</v>
      </c>
      <c r="U12" s="13">
        <v>4</v>
      </c>
      <c r="W12" s="28" t="s">
        <v>16</v>
      </c>
      <c r="X12" s="24">
        <f>B5</f>
        <v>101325</v>
      </c>
      <c r="Y12" s="24">
        <f>(X12+(X11^2)/2)-(Y11^2)/2</f>
        <v>101323.21314607565</v>
      </c>
      <c r="Z12" s="24">
        <f t="shared" ref="Z12:AL12" si="15">(Y12+(Y11^2)/2)-(Z11^2)/2</f>
        <v>101320.448303364</v>
      </c>
      <c r="AA12" s="24">
        <f t="shared" si="15"/>
        <v>101314.82145453016</v>
      </c>
      <c r="AB12" s="24">
        <f t="shared" si="15"/>
        <v>101295.3326753849</v>
      </c>
      <c r="AC12" s="24">
        <f t="shared" si="15"/>
        <v>101340.43203168207</v>
      </c>
      <c r="AD12" s="24">
        <f t="shared" si="15"/>
        <v>101354.48502929104</v>
      </c>
      <c r="AE12" s="24">
        <f t="shared" si="15"/>
        <v>101362.0922086511</v>
      </c>
      <c r="AF12" s="24">
        <f t="shared" si="15"/>
        <v>101367.68161381934</v>
      </c>
      <c r="AG12" s="24">
        <f t="shared" si="15"/>
        <v>101372.61674874077</v>
      </c>
      <c r="AH12" s="24">
        <f t="shared" si="15"/>
        <v>101369.62072278078</v>
      </c>
      <c r="AI12" s="24">
        <f t="shared" si="15"/>
        <v>101367.2745463756</v>
      </c>
      <c r="AJ12" s="24">
        <f t="shared" si="15"/>
        <v>101365.44575576186</v>
      </c>
      <c r="AK12" s="24">
        <f t="shared" si="15"/>
        <v>101363.91848058134</v>
      </c>
      <c r="AL12" s="25">
        <f t="shared" si="15"/>
        <v>101362.5</v>
      </c>
    </row>
    <row r="13" spans="1:38" ht="15.75" thickBot="1" x14ac:dyDescent="0.3">
      <c r="A13" s="5" t="s">
        <v>6</v>
      </c>
      <c r="B13" s="5">
        <v>11</v>
      </c>
      <c r="E13" s="14">
        <v>0.4</v>
      </c>
      <c r="F13" s="8"/>
      <c r="G13" s="8"/>
      <c r="H13" s="8"/>
      <c r="I13" s="8"/>
      <c r="J13" s="8"/>
      <c r="K13" s="8"/>
      <c r="L13" s="10"/>
      <c r="M13" s="11">
        <v>0</v>
      </c>
      <c r="N13" s="4">
        <f t="shared" si="9"/>
        <v>0.62833971203020922</v>
      </c>
      <c r="O13" s="4">
        <f t="shared" si="9"/>
        <v>1.09058100463137</v>
      </c>
      <c r="P13" s="4">
        <f t="shared" si="9"/>
        <v>1.401219582748934</v>
      </c>
      <c r="Q13" s="4">
        <f t="shared" si="9"/>
        <v>1.6143415303697848</v>
      </c>
      <c r="R13" s="4">
        <f t="shared" si="9"/>
        <v>1.7693550043487076</v>
      </c>
      <c r="S13" s="4">
        <f t="shared" si="9"/>
        <v>1.8919458058747092</v>
      </c>
      <c r="T13" s="3">
        <f t="shared" si="3"/>
        <v>2</v>
      </c>
      <c r="U13" s="13">
        <v>3</v>
      </c>
      <c r="W13" s="29" t="s">
        <v>17</v>
      </c>
      <c r="X13" s="27">
        <f>(X12-$B$5)/(($B$4^2)/2)</f>
        <v>0</v>
      </c>
      <c r="Y13" s="27">
        <f t="shared" ref="Y13:AL13" si="16">(Y12-$B$5)/(($B$4^2)/2)</f>
        <v>-3.573707848699996E-2</v>
      </c>
      <c r="Z13" s="27">
        <f t="shared" si="16"/>
        <v>-9.1033932720019944E-2</v>
      </c>
      <c r="AA13" s="27">
        <f t="shared" si="16"/>
        <v>-0.20357090939680347</v>
      </c>
      <c r="AB13" s="27">
        <f t="shared" si="16"/>
        <v>-0.59334649230208014</v>
      </c>
      <c r="AC13" s="27">
        <f t="shared" si="16"/>
        <v>0.30864063364133471</v>
      </c>
      <c r="AD13" s="27">
        <f t="shared" si="16"/>
        <v>0.58970058582082852</v>
      </c>
      <c r="AE13" s="27">
        <f t="shared" si="16"/>
        <v>0.74184417302196382</v>
      </c>
      <c r="AF13" s="27">
        <f t="shared" si="16"/>
        <v>0.8536322763867793</v>
      </c>
      <c r="AG13" s="27">
        <f t="shared" si="16"/>
        <v>0.95233497481531226</v>
      </c>
      <c r="AH13" s="27">
        <f t="shared" si="16"/>
        <v>0.89241445561550792</v>
      </c>
      <c r="AI13" s="27">
        <f t="shared" si="16"/>
        <v>0.84549092751200083</v>
      </c>
      <c r="AJ13" s="27">
        <f t="shared" si="16"/>
        <v>0.80891511523717785</v>
      </c>
      <c r="AK13" s="27">
        <f t="shared" si="16"/>
        <v>0.77836961162684015</v>
      </c>
      <c r="AL13" s="27">
        <f t="shared" si="16"/>
        <v>0.75</v>
      </c>
    </row>
    <row r="14" spans="1:38" x14ac:dyDescent="0.25">
      <c r="A14" s="5" t="s">
        <v>7</v>
      </c>
      <c r="B14" s="5">
        <v>15</v>
      </c>
      <c r="E14" s="14">
        <v>0.2</v>
      </c>
      <c r="F14" s="8"/>
      <c r="G14" s="8"/>
      <c r="H14" s="8"/>
      <c r="I14" s="8"/>
      <c r="J14" s="8"/>
      <c r="K14" s="8"/>
      <c r="L14" s="8"/>
      <c r="M14" s="10"/>
      <c r="N14" s="11">
        <v>0</v>
      </c>
      <c r="O14" s="4">
        <f t="shared" si="9"/>
        <v>0.43664642531333753</v>
      </c>
      <c r="P14" s="4">
        <f t="shared" si="9"/>
        <v>0.6560047084720968</v>
      </c>
      <c r="Q14" s="4">
        <f t="shared" si="9"/>
        <v>0.78615284134332397</v>
      </c>
      <c r="R14" s="4">
        <f t="shared" si="9"/>
        <v>0.87426514230594754</v>
      </c>
      <c r="S14" s="4">
        <f t="shared" si="9"/>
        <v>0.94155273537501172</v>
      </c>
      <c r="T14" s="3">
        <f>T15+$B$6*$B$2</f>
        <v>1</v>
      </c>
      <c r="U14" s="13">
        <v>2</v>
      </c>
    </row>
    <row r="15" spans="1:38" x14ac:dyDescent="0.25">
      <c r="A15" s="5" t="s">
        <v>8</v>
      </c>
      <c r="B15" s="5">
        <v>6</v>
      </c>
      <c r="E15" s="14">
        <v>0</v>
      </c>
      <c r="F15" s="12"/>
      <c r="G15" s="8"/>
      <c r="H15" s="8"/>
      <c r="I15" s="8"/>
      <c r="J15" s="8"/>
      <c r="K15" s="8"/>
      <c r="L15" s="8"/>
      <c r="M15" s="8"/>
      <c r="N15" s="10"/>
      <c r="O15" s="6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13">
        <v>1</v>
      </c>
    </row>
    <row r="16" spans="1:38" x14ac:dyDescent="0.25">
      <c r="A16" s="15" t="s">
        <v>9</v>
      </c>
      <c r="B16" s="5">
        <v>0</v>
      </c>
      <c r="F16" s="1">
        <v>0</v>
      </c>
      <c r="G16" s="1">
        <v>0.2</v>
      </c>
      <c r="H16" s="1">
        <v>0.4</v>
      </c>
      <c r="I16" s="1">
        <v>0.6</v>
      </c>
      <c r="J16" s="1">
        <v>0.8</v>
      </c>
      <c r="K16" s="1">
        <v>1</v>
      </c>
      <c r="L16" s="1">
        <v>1.2</v>
      </c>
      <c r="M16" s="1">
        <v>1.4</v>
      </c>
      <c r="N16" s="1">
        <v>1.6</v>
      </c>
      <c r="O16" s="1">
        <v>1.8</v>
      </c>
      <c r="P16" s="1">
        <v>2</v>
      </c>
      <c r="Q16" s="1">
        <v>2.2000000000000002</v>
      </c>
      <c r="R16" s="1">
        <v>2.4</v>
      </c>
      <c r="S16" s="1">
        <v>2.6</v>
      </c>
      <c r="T16" s="1">
        <v>2.8</v>
      </c>
    </row>
    <row r="17" spans="4:38" ht="15.75" thickBot="1" x14ac:dyDescent="0.3">
      <c r="W17" t="s">
        <v>19</v>
      </c>
    </row>
    <row r="18" spans="4:38" x14ac:dyDescent="0.25">
      <c r="E18" s="14">
        <v>2</v>
      </c>
      <c r="F18" s="21">
        <v>10</v>
      </c>
      <c r="G18" s="21">
        <v>10</v>
      </c>
      <c r="H18" s="21">
        <v>10</v>
      </c>
      <c r="I18" s="21">
        <v>10</v>
      </c>
      <c r="J18" s="21">
        <v>10</v>
      </c>
      <c r="K18" s="21">
        <v>10</v>
      </c>
      <c r="L18" s="21">
        <v>10</v>
      </c>
      <c r="M18" s="21">
        <v>10</v>
      </c>
      <c r="N18" s="21">
        <v>10</v>
      </c>
      <c r="O18" s="21">
        <v>10</v>
      </c>
      <c r="P18" s="21">
        <v>10</v>
      </c>
      <c r="Q18" s="21">
        <v>10</v>
      </c>
      <c r="R18" s="21">
        <v>10</v>
      </c>
      <c r="S18" s="21">
        <v>10</v>
      </c>
      <c r="T18" s="21">
        <v>10</v>
      </c>
      <c r="W18" s="30">
        <v>0</v>
      </c>
      <c r="X18" s="36">
        <v>1</v>
      </c>
      <c r="Y18" s="36">
        <v>2</v>
      </c>
      <c r="Z18" s="36">
        <v>3</v>
      </c>
      <c r="AA18" s="36">
        <v>4</v>
      </c>
      <c r="AB18" s="37">
        <v>5</v>
      </c>
      <c r="AC18" s="36">
        <v>6</v>
      </c>
      <c r="AD18" s="36">
        <v>7</v>
      </c>
      <c r="AE18" s="36">
        <v>8</v>
      </c>
      <c r="AF18" s="36">
        <v>9</v>
      </c>
      <c r="AG18" s="36">
        <v>10</v>
      </c>
      <c r="AH18" s="36">
        <v>11</v>
      </c>
      <c r="AI18" s="36">
        <v>12</v>
      </c>
      <c r="AJ18" s="36">
        <v>13</v>
      </c>
      <c r="AK18" s="36">
        <v>14</v>
      </c>
      <c r="AL18" s="38">
        <v>15</v>
      </c>
    </row>
    <row r="19" spans="4:38" x14ac:dyDescent="0.25">
      <c r="E19" s="14">
        <v>1.8</v>
      </c>
      <c r="F19" s="21">
        <v>8</v>
      </c>
      <c r="G19" s="23">
        <v>8.0283446441241058</v>
      </c>
      <c r="H19" s="23">
        <v>8.0648681504543092</v>
      </c>
      <c r="I19" s="23">
        <v>8.1180729951860933</v>
      </c>
      <c r="J19" s="23">
        <v>8.1952171608604605</v>
      </c>
      <c r="K19" s="23">
        <v>8.2968869257820277</v>
      </c>
      <c r="L19" s="23">
        <v>8.4102906654256326</v>
      </c>
      <c r="M19" s="23">
        <v>8.52214904523494</v>
      </c>
      <c r="N19" s="23">
        <v>8.6241900859194551</v>
      </c>
      <c r="O19" s="23">
        <v>8.7130063409670235</v>
      </c>
      <c r="P19" s="23">
        <v>8.7884287734016464</v>
      </c>
      <c r="Q19" s="23">
        <v>8.8521084588748078</v>
      </c>
      <c r="R19" s="23">
        <v>8.9066037521671948</v>
      </c>
      <c r="S19" s="23">
        <v>8.9548687842328185</v>
      </c>
      <c r="T19" s="21">
        <v>9</v>
      </c>
      <c r="W19" s="28" t="s">
        <v>9</v>
      </c>
      <c r="X19" s="26">
        <f>F5</f>
        <v>10</v>
      </c>
      <c r="Y19" s="26">
        <f t="shared" ref="Y19:AL19" si="17">G5</f>
        <v>10</v>
      </c>
      <c r="Z19" s="26">
        <f t="shared" si="17"/>
        <v>10</v>
      </c>
      <c r="AA19" s="26">
        <f t="shared" si="17"/>
        <v>10</v>
      </c>
      <c r="AB19" s="26">
        <f t="shared" si="17"/>
        <v>10</v>
      </c>
      <c r="AC19" s="26">
        <f t="shared" si="17"/>
        <v>10</v>
      </c>
      <c r="AD19" s="26">
        <f t="shared" si="17"/>
        <v>10</v>
      </c>
      <c r="AE19" s="26">
        <f t="shared" si="17"/>
        <v>10</v>
      </c>
      <c r="AF19" s="26">
        <f t="shared" si="17"/>
        <v>10</v>
      </c>
      <c r="AG19" s="26">
        <f t="shared" si="17"/>
        <v>10</v>
      </c>
      <c r="AH19" s="26">
        <f t="shared" si="17"/>
        <v>10</v>
      </c>
      <c r="AI19" s="26">
        <f t="shared" si="17"/>
        <v>10</v>
      </c>
      <c r="AJ19" s="26">
        <f t="shared" si="17"/>
        <v>10</v>
      </c>
      <c r="AK19" s="26">
        <f t="shared" si="17"/>
        <v>10</v>
      </c>
      <c r="AL19" s="26">
        <f t="shared" si="17"/>
        <v>10</v>
      </c>
    </row>
    <row r="20" spans="4:38" x14ac:dyDescent="0.25">
      <c r="E20" s="14">
        <v>1.6</v>
      </c>
      <c r="F20" s="21">
        <v>6</v>
      </c>
      <c r="G20" s="23">
        <v>6.0485104280921682</v>
      </c>
      <c r="H20" s="23">
        <v>6.1130549670345866</v>
      </c>
      <c r="I20" s="23">
        <v>6.2122066766190969</v>
      </c>
      <c r="J20" s="23">
        <v>6.365908733563578</v>
      </c>
      <c r="K20" s="23">
        <v>6.5820398916598428</v>
      </c>
      <c r="L20" s="23">
        <v>6.8221267105358603</v>
      </c>
      <c r="M20" s="23">
        <v>7.0541154525686958</v>
      </c>
      <c r="N20" s="23">
        <v>7.2616049840405008</v>
      </c>
      <c r="O20" s="23">
        <v>7.4394065309723008</v>
      </c>
      <c r="P20" s="23">
        <v>7.5886003197310359</v>
      </c>
      <c r="Q20" s="23">
        <v>7.7134013312645102</v>
      </c>
      <c r="R20" s="23">
        <v>7.8194377816946332</v>
      </c>
      <c r="S20" s="23">
        <v>7.9128713929630798</v>
      </c>
      <c r="T20" s="21">
        <v>8</v>
      </c>
      <c r="W20" s="28" t="s">
        <v>13</v>
      </c>
      <c r="X20" s="26">
        <v>0</v>
      </c>
      <c r="Y20" s="26">
        <v>0.2</v>
      </c>
      <c r="Z20" s="26">
        <v>0.4</v>
      </c>
      <c r="AA20" s="26">
        <v>0.6</v>
      </c>
      <c r="AB20" s="26">
        <v>0.8</v>
      </c>
      <c r="AC20" s="26">
        <v>1</v>
      </c>
      <c r="AD20" s="26">
        <v>1.2</v>
      </c>
      <c r="AE20" s="26">
        <v>1.4</v>
      </c>
      <c r="AF20" s="26">
        <v>1.6</v>
      </c>
      <c r="AG20" s="26">
        <v>1.8</v>
      </c>
      <c r="AH20" s="26">
        <v>2</v>
      </c>
      <c r="AI20" s="26">
        <v>2.2000000000000002</v>
      </c>
      <c r="AJ20" s="26">
        <v>2.4</v>
      </c>
      <c r="AK20" s="26">
        <v>2.6</v>
      </c>
      <c r="AL20" s="32">
        <v>2.8</v>
      </c>
    </row>
    <row r="21" spans="4:38" x14ac:dyDescent="0.25">
      <c r="E21" s="14">
        <v>1.4</v>
      </c>
      <c r="F21" s="21">
        <v>4</v>
      </c>
      <c r="G21" s="23">
        <v>4.0526421047208352</v>
      </c>
      <c r="H21" s="23">
        <v>4.1266346202316937</v>
      </c>
      <c r="I21" s="23">
        <v>4.2517900232653059</v>
      </c>
      <c r="J21" s="23">
        <v>4.4741712235191899</v>
      </c>
      <c r="K21" s="23">
        <v>4.8432372239196146</v>
      </c>
      <c r="L21" s="23">
        <v>5.2420608670322091</v>
      </c>
      <c r="M21" s="23">
        <v>5.6105811141314863</v>
      </c>
      <c r="N21" s="23">
        <v>5.92870791410422</v>
      </c>
      <c r="O21" s="23">
        <v>6.1944145302353917</v>
      </c>
      <c r="P21" s="23">
        <v>6.4131646901477986</v>
      </c>
      <c r="Q21" s="23">
        <v>6.5934588063105508</v>
      </c>
      <c r="R21" s="23">
        <v>6.7448746796413062</v>
      </c>
      <c r="S21" s="23">
        <v>6.8771790219402904</v>
      </c>
      <c r="T21" s="21">
        <v>7</v>
      </c>
      <c r="W21" s="28" t="s">
        <v>14</v>
      </c>
      <c r="X21" s="24">
        <f>2</f>
        <v>2</v>
      </c>
      <c r="Y21" s="24">
        <f>2</f>
        <v>2</v>
      </c>
      <c r="Z21" s="24">
        <f>2</f>
        <v>2</v>
      </c>
      <c r="AA21" s="24">
        <f>2</f>
        <v>2</v>
      </c>
      <c r="AB21" s="24">
        <f>2</f>
        <v>2</v>
      </c>
      <c r="AC21" s="24">
        <f>2</f>
        <v>2</v>
      </c>
      <c r="AD21" s="24">
        <f>2</f>
        <v>2</v>
      </c>
      <c r="AE21" s="24">
        <f>2</f>
        <v>2</v>
      </c>
      <c r="AF21" s="24">
        <f>2</f>
        <v>2</v>
      </c>
      <c r="AG21" s="24">
        <f>2</f>
        <v>2</v>
      </c>
      <c r="AH21" s="24">
        <f>2</f>
        <v>2</v>
      </c>
      <c r="AI21" s="24">
        <f>2</f>
        <v>2</v>
      </c>
      <c r="AJ21" s="24">
        <f>2</f>
        <v>2</v>
      </c>
      <c r="AK21" s="39">
        <f>2</f>
        <v>2</v>
      </c>
      <c r="AL21" s="25">
        <f>2</f>
        <v>2</v>
      </c>
    </row>
    <row r="22" spans="4:38" x14ac:dyDescent="0.25">
      <c r="E22" s="14">
        <v>1.2</v>
      </c>
      <c r="F22" s="21">
        <v>2</v>
      </c>
      <c r="G22" s="23">
        <v>2.0354233740441368</v>
      </c>
      <c r="H22" s="23">
        <v>2.0890513937572548</v>
      </c>
      <c r="I22" s="23">
        <v>2.1941475856553883</v>
      </c>
      <c r="J22" s="23">
        <v>2.4357489346681538</v>
      </c>
      <c r="K22" s="23">
        <v>3.0746769446798594</v>
      </c>
      <c r="L22" s="23">
        <v>3.6922984643074441</v>
      </c>
      <c r="M22" s="23">
        <v>4.217440277028075</v>
      </c>
      <c r="N22" s="23">
        <v>4.648231092561673</v>
      </c>
      <c r="O22" s="23">
        <v>4.9963790511808028</v>
      </c>
      <c r="P22" s="23">
        <v>5.2761851694602129</v>
      </c>
      <c r="Q22" s="23">
        <v>5.5023945781545516</v>
      </c>
      <c r="R22" s="23">
        <v>5.689423149639012</v>
      </c>
      <c r="S22" s="23">
        <v>5.8509700360606871</v>
      </c>
      <c r="T22" s="21">
        <v>6</v>
      </c>
      <c r="W22" s="28" t="s">
        <v>10</v>
      </c>
      <c r="X22" s="26">
        <f>F31</f>
        <v>10</v>
      </c>
      <c r="Y22" s="26">
        <f t="shared" ref="Y22:AL22" si="18">G31</f>
        <v>9.8582767768169077</v>
      </c>
      <c r="Z22" s="26">
        <f t="shared" si="18"/>
        <v>9.6756592420690168</v>
      </c>
      <c r="AA22" s="26">
        <f t="shared" si="18"/>
        <v>9.4096350150826691</v>
      </c>
      <c r="AB22" s="26">
        <f t="shared" si="18"/>
        <v>9.023914181835373</v>
      </c>
      <c r="AC22" s="26">
        <f t="shared" si="18"/>
        <v>8.5155653525675845</v>
      </c>
      <c r="AD22" s="26">
        <f t="shared" si="18"/>
        <v>7.948546648058965</v>
      </c>
      <c r="AE22" s="26">
        <f t="shared" si="18"/>
        <v>7.3892547451077739</v>
      </c>
      <c r="AF22" s="26">
        <f t="shared" si="18"/>
        <v>6.8790495371969218</v>
      </c>
      <c r="AG22" s="26">
        <f t="shared" si="18"/>
        <v>6.4349682621332516</v>
      </c>
      <c r="AH22" s="26">
        <f t="shared" si="18"/>
        <v>6.0578561005339182</v>
      </c>
      <c r="AI22" s="26">
        <f t="shared" si="18"/>
        <v>5.7394576789583063</v>
      </c>
      <c r="AJ22" s="26">
        <f t="shared" si="18"/>
        <v>5.46698121899718</v>
      </c>
      <c r="AK22" s="26">
        <f t="shared" si="18"/>
        <v>5.2256560685871634</v>
      </c>
      <c r="AL22" s="26">
        <f t="shared" si="18"/>
        <v>5</v>
      </c>
    </row>
    <row r="23" spans="4:38" x14ac:dyDescent="0.25">
      <c r="E23" s="14">
        <v>1</v>
      </c>
      <c r="F23" s="21">
        <v>0</v>
      </c>
      <c r="G23" s="21">
        <v>0</v>
      </c>
      <c r="H23" s="21">
        <v>0</v>
      </c>
      <c r="I23" s="21">
        <v>0</v>
      </c>
      <c r="J23" s="21">
        <v>0</v>
      </c>
      <c r="K23" s="23">
        <v>1.3274231849442879</v>
      </c>
      <c r="L23" s="23">
        <v>2.2350158116532057</v>
      </c>
      <c r="M23" s="23">
        <v>2.9186504966768698</v>
      </c>
      <c r="N23" s="23">
        <v>3.4503971960892308</v>
      </c>
      <c r="O23" s="23">
        <v>3.8666854883707438</v>
      </c>
      <c r="P23" s="23">
        <v>4.192802429459106</v>
      </c>
      <c r="Q23" s="23">
        <v>4.4505112510949418</v>
      </c>
      <c r="R23" s="23">
        <v>4.6594533500469284</v>
      </c>
      <c r="S23" s="23">
        <v>4.8372779975946107</v>
      </c>
      <c r="T23" s="21">
        <v>5</v>
      </c>
      <c r="W23" s="28" t="s">
        <v>11</v>
      </c>
      <c r="X23" s="26">
        <f>F44</f>
        <v>0</v>
      </c>
      <c r="Y23" s="26">
        <f t="shared" ref="Y23:AL23" si="19">G44</f>
        <v>0</v>
      </c>
      <c r="Z23" s="26">
        <f t="shared" si="19"/>
        <v>0</v>
      </c>
      <c r="AA23" s="26">
        <f t="shared" si="19"/>
        <v>0</v>
      </c>
      <c r="AB23" s="26">
        <f t="shared" si="19"/>
        <v>0</v>
      </c>
      <c r="AC23" s="26">
        <f t="shared" si="19"/>
        <v>0</v>
      </c>
      <c r="AD23" s="26">
        <f t="shared" si="19"/>
        <v>0</v>
      </c>
      <c r="AE23" s="26">
        <f t="shared" si="19"/>
        <v>0</v>
      </c>
      <c r="AF23" s="26">
        <f t="shared" si="19"/>
        <v>0</v>
      </c>
      <c r="AG23" s="26">
        <f t="shared" si="19"/>
        <v>0</v>
      </c>
      <c r="AH23" s="26">
        <f t="shared" si="19"/>
        <v>0</v>
      </c>
      <c r="AI23" s="26">
        <f t="shared" si="19"/>
        <v>0</v>
      </c>
      <c r="AJ23" s="26">
        <f t="shared" si="19"/>
        <v>0</v>
      </c>
      <c r="AK23" s="26">
        <f t="shared" si="19"/>
        <v>0</v>
      </c>
      <c r="AL23" s="26">
        <f t="shared" si="19"/>
        <v>0</v>
      </c>
    </row>
    <row r="24" spans="4:38" x14ac:dyDescent="0.25">
      <c r="E24" s="14">
        <v>0.8</v>
      </c>
      <c r="K24" s="21">
        <v>0</v>
      </c>
      <c r="L24" s="23">
        <v>1.0016911364812002</v>
      </c>
      <c r="M24" s="23">
        <v>1.771748753466905</v>
      </c>
      <c r="N24" s="23">
        <v>2.3680217739690805</v>
      </c>
      <c r="O24" s="23">
        <v>2.8271633486315619</v>
      </c>
      <c r="P24" s="23">
        <v>3.1778278827673874</v>
      </c>
      <c r="Q24" s="23">
        <v>3.4473947091078485</v>
      </c>
      <c r="R24" s="23">
        <v>3.6606010498329895</v>
      </c>
      <c r="S24" s="23">
        <v>3.8386886288690798</v>
      </c>
      <c r="T24" s="21">
        <v>4</v>
      </c>
      <c r="W24" s="28" t="s">
        <v>15</v>
      </c>
      <c r="X24" s="26">
        <f>F57</f>
        <v>10</v>
      </c>
      <c r="Y24" s="26">
        <f t="shared" ref="Y24:AK24" si="20">G57</f>
        <v>9.8582767768169077</v>
      </c>
      <c r="Z24" s="26">
        <f t="shared" si="20"/>
        <v>9.6756592420690168</v>
      </c>
      <c r="AA24" s="26">
        <f t="shared" si="20"/>
        <v>9.4096350150826691</v>
      </c>
      <c r="AB24" s="26">
        <f t="shared" si="20"/>
        <v>9.023914181835373</v>
      </c>
      <c r="AC24" s="26">
        <f t="shared" si="20"/>
        <v>8.5155653525675845</v>
      </c>
      <c r="AD24" s="26">
        <f t="shared" si="20"/>
        <v>7.948546648058965</v>
      </c>
      <c r="AE24" s="26">
        <f t="shared" si="20"/>
        <v>7.3892547451077739</v>
      </c>
      <c r="AF24" s="26">
        <f t="shared" si="20"/>
        <v>6.8790495371969218</v>
      </c>
      <c r="AG24" s="26">
        <f t="shared" si="20"/>
        <v>6.4349682621332516</v>
      </c>
      <c r="AH24" s="26">
        <f t="shared" si="20"/>
        <v>6.0578561005339182</v>
      </c>
      <c r="AI24" s="26">
        <f t="shared" si="20"/>
        <v>5.7394576789583063</v>
      </c>
      <c r="AJ24" s="26">
        <f t="shared" si="20"/>
        <v>5.46698121899718</v>
      </c>
      <c r="AK24" s="26">
        <f t="shared" si="20"/>
        <v>5.2256560685871634</v>
      </c>
      <c r="AL24" s="26">
        <f>T62</f>
        <v>5.0657636346001214</v>
      </c>
    </row>
    <row r="25" spans="4:38" x14ac:dyDescent="0.25">
      <c r="E25" s="14">
        <v>0.6</v>
      </c>
      <c r="L25" s="21">
        <v>0</v>
      </c>
      <c r="M25" s="23">
        <v>0.79863164620981331</v>
      </c>
      <c r="N25" s="23">
        <v>1.4227778510813123</v>
      </c>
      <c r="O25" s="23">
        <v>1.8961183142741169</v>
      </c>
      <c r="P25" s="23">
        <v>2.2439511076388072</v>
      </c>
      <c r="Q25" s="23">
        <v>2.5006387116497009</v>
      </c>
      <c r="R25" s="23">
        <v>2.696867553791205</v>
      </c>
      <c r="S25" s="23">
        <v>2.8568754915953618</v>
      </c>
      <c r="T25" s="21">
        <v>3</v>
      </c>
      <c r="W25" s="28" t="s">
        <v>16</v>
      </c>
      <c r="X25" s="24">
        <f>$B$5</f>
        <v>101325</v>
      </c>
      <c r="Y25" s="24">
        <f t="shared" ref="Y25:AL25" si="21">(X25+(X24^2)/2)-(Y24^2)/2</f>
        <v>101326.40718949583</v>
      </c>
      <c r="Z25" s="24">
        <f t="shared" si="21"/>
        <v>101328.19080911568</v>
      </c>
      <c r="AA25" s="24">
        <f t="shared" si="21"/>
        <v>101330.72938444147</v>
      </c>
      <c r="AB25" s="24">
        <f t="shared" si="21"/>
        <v>101334.28448641943</v>
      </c>
      <c r="AC25" s="24">
        <f t="shared" si="21"/>
        <v>101338.74257336308</v>
      </c>
      <c r="AD25" s="24">
        <f t="shared" si="21"/>
        <v>101343.41030309182</v>
      </c>
      <c r="AE25" s="24">
        <f t="shared" si="21"/>
        <v>101347.69945715595</v>
      </c>
      <c r="AF25" s="24">
        <f t="shared" si="21"/>
        <v>101351.33933873239</v>
      </c>
      <c r="AG25" s="24">
        <f t="shared" si="21"/>
        <v>101354.29559173266</v>
      </c>
      <c r="AH25" s="24">
        <f t="shared" si="21"/>
        <v>101356.65118973261</v>
      </c>
      <c r="AI25" s="24">
        <f t="shared" si="21"/>
        <v>101358.52931277572</v>
      </c>
      <c r="AJ25" s="24">
        <f t="shared" si="21"/>
        <v>101360.05605817557</v>
      </c>
      <c r="AK25" s="24">
        <f t="shared" si="21"/>
        <v>101361.34625932641</v>
      </c>
      <c r="AL25" s="41">
        <f t="shared" si="21"/>
        <v>101362.16901939918</v>
      </c>
    </row>
    <row r="26" spans="4:38" ht="15.75" thickBot="1" x14ac:dyDescent="0.3">
      <c r="E26" s="14">
        <v>0.4</v>
      </c>
      <c r="M26" s="21">
        <v>0</v>
      </c>
      <c r="N26" s="23">
        <v>0.62833970768329084</v>
      </c>
      <c r="O26" s="23">
        <v>1.0905809970395248</v>
      </c>
      <c r="P26" s="23">
        <v>1.401219574276892</v>
      </c>
      <c r="Q26" s="23">
        <v>1.6143415221035786</v>
      </c>
      <c r="R26" s="23">
        <v>1.7693549982322319</v>
      </c>
      <c r="S26" s="23">
        <v>1.8919458024441551</v>
      </c>
      <c r="T26" s="21">
        <v>2</v>
      </c>
      <c r="W26" s="29" t="s">
        <v>17</v>
      </c>
      <c r="X26" s="27">
        <f t="shared" ref="X26:AL26" si="22">(X25-$B$5)/(($B$4^2)/2)</f>
        <v>0</v>
      </c>
      <c r="Y26" s="27">
        <f t="shared" si="22"/>
        <v>2.814378991664853E-2</v>
      </c>
      <c r="Z26" s="27">
        <f t="shared" si="22"/>
        <v>6.3816182313603351E-2</v>
      </c>
      <c r="AA26" s="27">
        <f t="shared" si="22"/>
        <v>0.11458768882934237</v>
      </c>
      <c r="AB26" s="27">
        <f t="shared" si="22"/>
        <v>0.18568972838867923</v>
      </c>
      <c r="AC26" s="27">
        <f t="shared" si="22"/>
        <v>0.27485146726161475</v>
      </c>
      <c r="AD26" s="27">
        <f t="shared" si="22"/>
        <v>0.36820606183639026</v>
      </c>
      <c r="AE26" s="27">
        <f t="shared" si="22"/>
        <v>0.45398914311896077</v>
      </c>
      <c r="AF26" s="27">
        <f t="shared" si="22"/>
        <v>0.52678677464777135</v>
      </c>
      <c r="AG26" s="27">
        <f t="shared" si="22"/>
        <v>0.58591183465323415</v>
      </c>
      <c r="AH26" s="27">
        <f t="shared" si="22"/>
        <v>0.63302379465225389</v>
      </c>
      <c r="AI26" s="27">
        <f t="shared" si="22"/>
        <v>0.67058625551435402</v>
      </c>
      <c r="AJ26" s="27">
        <f t="shared" si="22"/>
        <v>0.70112116351141596</v>
      </c>
      <c r="AK26" s="40">
        <f t="shared" si="22"/>
        <v>0.72692518652824223</v>
      </c>
      <c r="AL26" s="42">
        <f t="shared" si="22"/>
        <v>0.74338038798363415</v>
      </c>
    </row>
    <row r="27" spans="4:38" x14ac:dyDescent="0.25">
      <c r="E27" s="14">
        <v>0.2</v>
      </c>
      <c r="N27" s="21">
        <v>0</v>
      </c>
      <c r="O27" s="23">
        <v>0.43664642229117995</v>
      </c>
      <c r="P27" s="23">
        <v>0.65600470421382517</v>
      </c>
      <c r="Q27" s="23">
        <v>0.78615283732031505</v>
      </c>
      <c r="R27" s="23">
        <v>0.87426513905589198</v>
      </c>
      <c r="S27" s="23">
        <v>0.94155273367124348</v>
      </c>
      <c r="T27" s="21">
        <v>1</v>
      </c>
    </row>
    <row r="28" spans="4:38" x14ac:dyDescent="0.25">
      <c r="E28" s="14">
        <v>0</v>
      </c>
      <c r="O28" s="21">
        <v>0</v>
      </c>
      <c r="P28" s="21">
        <v>0</v>
      </c>
      <c r="Q28" s="21">
        <v>0</v>
      </c>
      <c r="R28" s="21">
        <v>0</v>
      </c>
      <c r="S28" s="21">
        <v>0</v>
      </c>
      <c r="T28" s="21">
        <v>0</v>
      </c>
    </row>
    <row r="29" spans="4:38" x14ac:dyDescent="0.25">
      <c r="F29" s="1">
        <v>0</v>
      </c>
      <c r="G29" s="1">
        <v>0.2</v>
      </c>
      <c r="H29" s="1">
        <v>0.4</v>
      </c>
      <c r="I29" s="1">
        <v>0.6</v>
      </c>
      <c r="J29" s="1">
        <v>0.8</v>
      </c>
      <c r="K29" s="1">
        <v>1</v>
      </c>
      <c r="L29" s="1">
        <v>1.2</v>
      </c>
      <c r="M29" s="1">
        <v>1.4</v>
      </c>
      <c r="N29" s="1">
        <v>1.6</v>
      </c>
      <c r="O29" s="1">
        <v>1.8</v>
      </c>
      <c r="P29" s="1">
        <v>2</v>
      </c>
      <c r="Q29" s="1">
        <v>2.2000000000000002</v>
      </c>
      <c r="R29" s="1">
        <v>2.4</v>
      </c>
      <c r="S29" s="1">
        <v>2.6</v>
      </c>
      <c r="T29" s="1">
        <v>2.8</v>
      </c>
    </row>
    <row r="31" spans="4:38" x14ac:dyDescent="0.25">
      <c r="D31" s="20" t="s">
        <v>10</v>
      </c>
      <c r="E31" s="14">
        <v>2</v>
      </c>
      <c r="F31" s="21">
        <f>(F5-F6)/$B$2</f>
        <v>10</v>
      </c>
      <c r="G31" s="21">
        <f t="shared" ref="G31:T31" si="23">(G5-G6)/$B$2</f>
        <v>9.8582767768169077</v>
      </c>
      <c r="H31" s="21">
        <f t="shared" si="23"/>
        <v>9.6756592420690168</v>
      </c>
      <c r="I31" s="21">
        <f t="shared" si="23"/>
        <v>9.4096350150826691</v>
      </c>
      <c r="J31" s="21">
        <f t="shared" si="23"/>
        <v>9.023914181835373</v>
      </c>
      <c r="K31" s="21">
        <f t="shared" si="23"/>
        <v>8.5155653525675845</v>
      </c>
      <c r="L31" s="21">
        <f t="shared" si="23"/>
        <v>7.948546648058965</v>
      </c>
      <c r="M31" s="21">
        <f t="shared" si="23"/>
        <v>7.3892547451077739</v>
      </c>
      <c r="N31" s="21">
        <f t="shared" si="23"/>
        <v>6.8790495371969218</v>
      </c>
      <c r="O31" s="21">
        <f t="shared" si="23"/>
        <v>6.4349682621332516</v>
      </c>
      <c r="P31" s="21">
        <f t="shared" si="23"/>
        <v>6.0578561005339182</v>
      </c>
      <c r="Q31" s="21">
        <f t="shared" si="23"/>
        <v>5.7394576789583063</v>
      </c>
      <c r="R31" s="21">
        <f t="shared" si="23"/>
        <v>5.46698121899718</v>
      </c>
      <c r="S31" s="21">
        <f t="shared" si="23"/>
        <v>5.2256560685871634</v>
      </c>
      <c r="T31" s="21">
        <f t="shared" si="23"/>
        <v>5</v>
      </c>
    </row>
    <row r="32" spans="4:38" x14ac:dyDescent="0.25">
      <c r="E32" s="14">
        <v>1.8</v>
      </c>
      <c r="F32" s="22">
        <f>(F5-F7)/(2*$B$2)</f>
        <v>10</v>
      </c>
      <c r="G32" s="22">
        <f>(G5-G7)/(2*$B$2)</f>
        <v>9.8787239275752956</v>
      </c>
      <c r="H32" s="22">
        <f t="shared" ref="H32:T32" si="24">(H5-H7)/(2*$B$2)</f>
        <v>9.7173625778767061</v>
      </c>
      <c r="I32" s="22">
        <f t="shared" si="24"/>
        <v>9.4694833005940229</v>
      </c>
      <c r="J32" s="22">
        <f t="shared" si="24"/>
        <v>9.0852281545883802</v>
      </c>
      <c r="K32" s="22">
        <f t="shared" si="24"/>
        <v>8.5449002538743226</v>
      </c>
      <c r="L32" s="22">
        <f t="shared" si="24"/>
        <v>7.9446832020710145</v>
      </c>
      <c r="M32" s="22">
        <f t="shared" si="24"/>
        <v>7.3647113412857568</v>
      </c>
      <c r="N32" s="22">
        <f t="shared" si="24"/>
        <v>6.8459875102720797</v>
      </c>
      <c r="O32" s="22">
        <f t="shared" si="24"/>
        <v>6.4014836406412812</v>
      </c>
      <c r="P32" s="22">
        <f t="shared" si="24"/>
        <v>6.02849917138359</v>
      </c>
      <c r="Q32" s="22">
        <f t="shared" si="24"/>
        <v>5.7164966458681077</v>
      </c>
      <c r="R32" s="22">
        <f t="shared" si="24"/>
        <v>5.4514055274774442</v>
      </c>
      <c r="S32" s="22">
        <f t="shared" si="24"/>
        <v>5.2178215075826602</v>
      </c>
      <c r="T32" s="22">
        <f t="shared" si="24"/>
        <v>5</v>
      </c>
    </row>
    <row r="33" spans="4:20" x14ac:dyDescent="0.25">
      <c r="E33" s="14">
        <v>1.6</v>
      </c>
      <c r="F33" s="22">
        <f t="shared" ref="F33:T33" si="25">(F6-F8)/(2*$B$2)</f>
        <v>10</v>
      </c>
      <c r="G33" s="22">
        <f t="shared" si="25"/>
        <v>9.939256347611547</v>
      </c>
      <c r="H33" s="22">
        <f t="shared" si="25"/>
        <v>9.8455838234792505</v>
      </c>
      <c r="I33" s="22">
        <f t="shared" si="25"/>
        <v>9.6657074261928102</v>
      </c>
      <c r="J33" s="22">
        <f t="shared" si="25"/>
        <v>9.3026148369469048</v>
      </c>
      <c r="K33" s="22">
        <f t="shared" si="25"/>
        <v>8.6341242444092714</v>
      </c>
      <c r="L33" s="22">
        <f t="shared" si="25"/>
        <v>7.9205744804115126</v>
      </c>
      <c r="M33" s="22">
        <f t="shared" si="25"/>
        <v>7.2789198082378626</v>
      </c>
      <c r="N33" s="22">
        <f t="shared" si="25"/>
        <v>6.7387054057958817</v>
      </c>
      <c r="O33" s="22">
        <f t="shared" si="25"/>
        <v>6.2964795024301745</v>
      </c>
      <c r="P33" s="22">
        <f t="shared" si="25"/>
        <v>5.9381601836472964</v>
      </c>
      <c r="Q33" s="22">
        <f t="shared" si="25"/>
        <v>5.6466241110157434</v>
      </c>
      <c r="R33" s="22">
        <f t="shared" si="25"/>
        <v>5.4043226657611054</v>
      </c>
      <c r="S33" s="22">
        <f t="shared" si="25"/>
        <v>5.1942243977907472</v>
      </c>
      <c r="T33" s="22">
        <f t="shared" si="25"/>
        <v>5</v>
      </c>
    </row>
    <row r="34" spans="4:20" x14ac:dyDescent="0.25">
      <c r="E34" s="14">
        <v>1.4</v>
      </c>
      <c r="F34" s="22">
        <f t="shared" ref="F34:T34" si="26">(F7-F9)/(2*$B$2)</f>
        <v>10</v>
      </c>
      <c r="G34" s="22">
        <f t="shared" si="26"/>
        <v>10.032717635875896</v>
      </c>
      <c r="H34" s="22">
        <f t="shared" si="26"/>
        <v>10.06000893466628</v>
      </c>
      <c r="I34" s="22">
        <f t="shared" si="26"/>
        <v>10.045147729599279</v>
      </c>
      <c r="J34" s="22">
        <f t="shared" si="26"/>
        <v>9.8253994992525957</v>
      </c>
      <c r="K34" s="22">
        <f t="shared" si="26"/>
        <v>8.7684073662259898</v>
      </c>
      <c r="L34" s="22">
        <f t="shared" si="26"/>
        <v>7.8245706101831409</v>
      </c>
      <c r="M34" s="22">
        <f t="shared" si="26"/>
        <v>7.0916879289158219</v>
      </c>
      <c r="N34" s="22">
        <f t="shared" si="26"/>
        <v>6.5334347157264645</v>
      </c>
      <c r="O34" s="22">
        <f t="shared" si="26"/>
        <v>6.1075686839662042</v>
      </c>
      <c r="P34" s="22">
        <f t="shared" si="26"/>
        <v>5.7810378605274977</v>
      </c>
      <c r="Q34" s="22">
        <f t="shared" si="26"/>
        <v>5.527516868816444</v>
      </c>
      <c r="R34" s="22">
        <f t="shared" si="26"/>
        <v>5.3250365700828857</v>
      </c>
      <c r="S34" s="22">
        <f t="shared" si="26"/>
        <v>5.1547533866836437</v>
      </c>
      <c r="T34" s="22">
        <f t="shared" si="26"/>
        <v>5</v>
      </c>
    </row>
    <row r="35" spans="4:20" x14ac:dyDescent="0.25">
      <c r="E35" s="14">
        <v>1.2</v>
      </c>
      <c r="F35" s="22">
        <f t="shared" ref="F35:T35" si="27">(F8-F10)/(2*$B$2)</f>
        <v>10</v>
      </c>
      <c r="G35" s="22">
        <f t="shared" si="27"/>
        <v>10.131605263979999</v>
      </c>
      <c r="H35" s="22">
        <f t="shared" si="27"/>
        <v>10.316586555486239</v>
      </c>
      <c r="I35" s="22">
        <f t="shared" si="27"/>
        <v>10.629475066265854</v>
      </c>
      <c r="J35" s="22">
        <f t="shared" si="27"/>
        <v>11.185428072135407</v>
      </c>
      <c r="K35" s="22">
        <f t="shared" si="27"/>
        <v>8.7895351065987697</v>
      </c>
      <c r="L35" s="22">
        <f t="shared" si="27"/>
        <v>7.5176126440528774</v>
      </c>
      <c r="M35" s="22">
        <f t="shared" si="27"/>
        <v>6.7298265453098649</v>
      </c>
      <c r="N35" s="22">
        <f t="shared" si="27"/>
        <v>6.1957767933691787</v>
      </c>
      <c r="O35" s="22">
        <f t="shared" si="27"/>
        <v>5.819322600652761</v>
      </c>
      <c r="P35" s="22">
        <f t="shared" si="27"/>
        <v>5.5509056462774398</v>
      </c>
      <c r="Q35" s="22">
        <f t="shared" si="27"/>
        <v>5.3573688827748329</v>
      </c>
      <c r="R35" s="22">
        <f t="shared" si="27"/>
        <v>5.213553319639332</v>
      </c>
      <c r="S35" s="22">
        <f t="shared" si="27"/>
        <v>5.0997525585552372</v>
      </c>
      <c r="T35" s="22">
        <f t="shared" si="27"/>
        <v>5</v>
      </c>
    </row>
    <row r="36" spans="4:20" x14ac:dyDescent="0.25">
      <c r="E36" s="14">
        <v>1</v>
      </c>
      <c r="F36" s="21">
        <f>(F9-F10)/($B$2)</f>
        <v>10</v>
      </c>
      <c r="G36" s="21">
        <f t="shared" ref="G36:J36" si="28">(G9-G10)/($B$2)</f>
        <v>10.177116873097614</v>
      </c>
      <c r="H36" s="21">
        <f t="shared" si="28"/>
        <v>10.445256974914022</v>
      </c>
      <c r="I36" s="21">
        <f t="shared" si="28"/>
        <v>10.970737939613393</v>
      </c>
      <c r="J36" s="21">
        <f t="shared" si="28"/>
        <v>12.178744692318046</v>
      </c>
      <c r="K36" s="22">
        <f t="shared" ref="K36:T36" si="29">(K9-K11)/(2*$B$2)</f>
        <v>7.6866923798996867</v>
      </c>
      <c r="L36" s="22">
        <f t="shared" si="29"/>
        <v>6.7265183345457746</v>
      </c>
      <c r="M36" s="22">
        <f t="shared" si="29"/>
        <v>6.1142288214628193</v>
      </c>
      <c r="N36" s="22">
        <f t="shared" si="29"/>
        <v>5.7005233057083231</v>
      </c>
      <c r="O36" s="22">
        <f t="shared" si="29"/>
        <v>5.4230392632791835</v>
      </c>
      <c r="P36" s="22">
        <f t="shared" si="29"/>
        <v>5.2458932213155851</v>
      </c>
      <c r="Q36" s="22">
        <f t="shared" si="29"/>
        <v>5.1374996757248104</v>
      </c>
      <c r="R36" s="22">
        <f t="shared" si="29"/>
        <v>5.0720552513052564</v>
      </c>
      <c r="S36" s="22">
        <f t="shared" si="29"/>
        <v>5.0307035188443443</v>
      </c>
      <c r="T36" s="22">
        <f t="shared" si="29"/>
        <v>5</v>
      </c>
    </row>
    <row r="37" spans="4:20" x14ac:dyDescent="0.25">
      <c r="E37" s="14">
        <v>0.8</v>
      </c>
      <c r="F37" s="18"/>
      <c r="G37" s="18"/>
      <c r="H37" s="18"/>
      <c r="I37" s="18"/>
      <c r="J37" s="18"/>
      <c r="K37" s="21">
        <f>(K10-K11)/($B$2)</f>
        <v>6.6371159454163315</v>
      </c>
      <c r="L37" s="22">
        <f t="shared" ref="L37:N37" si="30">(L10-L12)/(2*$B$2)</f>
        <v>5.5875395515061266</v>
      </c>
      <c r="M37" s="22">
        <f t="shared" si="30"/>
        <v>5.300047146055749</v>
      </c>
      <c r="N37" s="22">
        <f t="shared" si="30"/>
        <v>5.0690483809012896</v>
      </c>
      <c r="O37" s="22">
        <f t="shared" ref="O37:T37" si="31">(O10-O12)/(2*$B$2)</f>
        <v>4.9264179506059351</v>
      </c>
      <c r="P37" s="22">
        <f t="shared" si="31"/>
        <v>4.8721283179532433</v>
      </c>
      <c r="Q37" s="22">
        <f t="shared" si="31"/>
        <v>4.8746813588293714</v>
      </c>
      <c r="R37" s="22">
        <f t="shared" si="31"/>
        <v>4.9064644980320438</v>
      </c>
      <c r="S37" s="22">
        <f t="shared" si="31"/>
        <v>4.9510062686701577</v>
      </c>
      <c r="T37" s="22">
        <f t="shared" si="31"/>
        <v>5</v>
      </c>
    </row>
    <row r="38" spans="4:20" x14ac:dyDescent="0.25">
      <c r="E38" s="14">
        <v>0.6</v>
      </c>
      <c r="F38" s="18"/>
      <c r="G38" s="18"/>
      <c r="H38" s="18"/>
      <c r="I38" s="18"/>
      <c r="J38" s="18"/>
      <c r="K38" s="18"/>
      <c r="L38" s="21">
        <f>(L11-L12)/($B$2)</f>
        <v>5.0084557064001389</v>
      </c>
      <c r="M38" s="22">
        <f t="shared" ref="M38:N38" si="32">(M11-M13)/(2*$B$2)</f>
        <v>4.429371908335602</v>
      </c>
      <c r="N38" s="22">
        <f t="shared" si="32"/>
        <v>4.3492051882176082</v>
      </c>
      <c r="O38" s="22">
        <f t="shared" ref="O38:T38" si="33">(O11-O13)/(2*$B$2)</f>
        <v>4.3414559005349052</v>
      </c>
      <c r="P38" s="22">
        <f t="shared" si="33"/>
        <v>4.4415207899009914</v>
      </c>
      <c r="Q38" s="22">
        <f t="shared" si="33"/>
        <v>4.5826329836661754</v>
      </c>
      <c r="R38" s="22">
        <f t="shared" si="33"/>
        <v>4.728115140262644</v>
      </c>
      <c r="S38" s="22">
        <f t="shared" si="33"/>
        <v>4.8668570722025777</v>
      </c>
      <c r="T38" s="22">
        <f t="shared" si="33"/>
        <v>5</v>
      </c>
    </row>
    <row r="39" spans="4:20" x14ac:dyDescent="0.25">
      <c r="E39" s="14">
        <v>0.4</v>
      </c>
      <c r="F39" s="18"/>
      <c r="G39" s="18"/>
      <c r="H39" s="18"/>
      <c r="I39" s="18"/>
      <c r="J39" s="18"/>
      <c r="K39" s="18"/>
      <c r="L39" s="18"/>
      <c r="M39" s="21">
        <f>(M12-M13)/($B$2)</f>
        <v>3.9931582556852718</v>
      </c>
      <c r="N39" s="22">
        <f t="shared" ref="N39" si="34">(N12-N14)/(2*$B$2)</f>
        <v>3.5569446513351886</v>
      </c>
      <c r="O39" s="22">
        <f t="shared" ref="O39:T39" si="35">(O12-O14)/(2*$B$2)</f>
        <v>3.6486797519611596</v>
      </c>
      <c r="P39" s="22">
        <f t="shared" si="35"/>
        <v>3.9698660306748188</v>
      </c>
      <c r="Q39" s="22">
        <f t="shared" si="35"/>
        <v>4.2862147045425889</v>
      </c>
      <c r="R39" s="22">
        <f t="shared" si="35"/>
        <v>4.5565060513040594</v>
      </c>
      <c r="S39" s="22">
        <f t="shared" si="35"/>
        <v>4.7883069022527458</v>
      </c>
      <c r="T39" s="22">
        <f t="shared" si="35"/>
        <v>5</v>
      </c>
    </row>
    <row r="40" spans="4:20" x14ac:dyDescent="0.25">
      <c r="E40" s="14">
        <v>0.2</v>
      </c>
      <c r="F40" s="18"/>
      <c r="G40" s="18"/>
      <c r="H40" s="18"/>
      <c r="I40" s="18"/>
      <c r="J40" s="18"/>
      <c r="K40" s="18"/>
      <c r="L40" s="18"/>
      <c r="M40" s="18"/>
      <c r="N40" s="21">
        <f>(N13-N14)/($B$2)</f>
        <v>3.1416985601510459</v>
      </c>
      <c r="O40" s="22">
        <f t="shared" ref="O40:T40" si="36">(O13-O15)/(2*$B$2)</f>
        <v>2.7264525115784246</v>
      </c>
      <c r="P40" s="22">
        <f t="shared" si="36"/>
        <v>3.5030489568723349</v>
      </c>
      <c r="Q40" s="22">
        <f t="shared" si="36"/>
        <v>4.0358538259244616</v>
      </c>
      <c r="R40" s="22">
        <f t="shared" si="36"/>
        <v>4.4233875108717688</v>
      </c>
      <c r="S40" s="22">
        <f t="shared" si="36"/>
        <v>4.7298645146867724</v>
      </c>
      <c r="T40" s="22">
        <f t="shared" si="36"/>
        <v>5</v>
      </c>
    </row>
    <row r="41" spans="4:20" x14ac:dyDescent="0.25">
      <c r="E41" s="14">
        <v>0</v>
      </c>
      <c r="F41" s="18"/>
      <c r="G41" s="18"/>
      <c r="H41" s="18"/>
      <c r="I41" s="18"/>
      <c r="J41" s="18"/>
      <c r="K41" s="18"/>
      <c r="L41" s="18"/>
      <c r="M41" s="18"/>
      <c r="N41" s="18"/>
      <c r="O41" s="21">
        <f>(O14-O15)/($B$2)</f>
        <v>2.1832321265666876</v>
      </c>
      <c r="P41" s="21">
        <f t="shared" ref="P41:T41" si="37">(P14-P15)/($B$2)</f>
        <v>3.280023542360484</v>
      </c>
      <c r="Q41" s="21">
        <f t="shared" si="37"/>
        <v>3.9307642067166197</v>
      </c>
      <c r="R41" s="21">
        <f t="shared" si="37"/>
        <v>4.371325711529737</v>
      </c>
      <c r="S41" s="21">
        <f t="shared" si="37"/>
        <v>4.7077636768750581</v>
      </c>
      <c r="T41" s="21">
        <f t="shared" si="37"/>
        <v>5</v>
      </c>
    </row>
    <row r="42" spans="4:20" x14ac:dyDescent="0.25">
      <c r="F42" s="1">
        <v>0</v>
      </c>
      <c r="G42" s="1">
        <v>0.2</v>
      </c>
      <c r="H42" s="1">
        <v>0.4</v>
      </c>
      <c r="I42" s="1">
        <v>0.6</v>
      </c>
      <c r="J42" s="1">
        <v>0.8</v>
      </c>
      <c r="K42" s="1">
        <v>1</v>
      </c>
      <c r="L42" s="1">
        <v>1.2</v>
      </c>
      <c r="M42" s="1">
        <v>1.4</v>
      </c>
      <c r="N42" s="1">
        <v>1.6</v>
      </c>
      <c r="O42" s="1">
        <v>1.8</v>
      </c>
      <c r="P42" s="1">
        <v>2</v>
      </c>
      <c r="Q42" s="1">
        <v>2.2000000000000002</v>
      </c>
      <c r="R42" s="1">
        <v>2.4</v>
      </c>
      <c r="S42" s="1">
        <v>2.6</v>
      </c>
      <c r="T42" s="1">
        <v>2.8</v>
      </c>
    </row>
    <row r="44" spans="4:20" x14ac:dyDescent="0.25">
      <c r="D44" s="20" t="s">
        <v>11</v>
      </c>
      <c r="E44" s="14">
        <v>2</v>
      </c>
      <c r="F44" s="56">
        <f>(F5-G5)/$B$2</f>
        <v>0</v>
      </c>
      <c r="G44" s="57">
        <f t="shared" ref="G44:S44" si="38">(F18-H18)/(2*$B$2)</f>
        <v>0</v>
      </c>
      <c r="H44" s="57">
        <f t="shared" si="38"/>
        <v>0</v>
      </c>
      <c r="I44" s="57">
        <f t="shared" si="38"/>
        <v>0</v>
      </c>
      <c r="J44" s="57">
        <f t="shared" si="38"/>
        <v>0</v>
      </c>
      <c r="K44" s="57">
        <f t="shared" si="38"/>
        <v>0</v>
      </c>
      <c r="L44" s="57">
        <f t="shared" si="38"/>
        <v>0</v>
      </c>
      <c r="M44" s="57">
        <f t="shared" si="38"/>
        <v>0</v>
      </c>
      <c r="N44" s="57">
        <f t="shared" si="38"/>
        <v>0</v>
      </c>
      <c r="O44" s="57">
        <f t="shared" si="38"/>
        <v>0</v>
      </c>
      <c r="P44" s="57">
        <f t="shared" si="38"/>
        <v>0</v>
      </c>
      <c r="Q44" s="57">
        <f t="shared" si="38"/>
        <v>0</v>
      </c>
      <c r="R44" s="57">
        <f t="shared" si="38"/>
        <v>0</v>
      </c>
      <c r="S44" s="57">
        <f t="shared" si="38"/>
        <v>0</v>
      </c>
      <c r="T44" s="56">
        <f>(T5-S5)/$B$2</f>
        <v>0</v>
      </c>
    </row>
    <row r="45" spans="4:20" x14ac:dyDescent="0.25">
      <c r="E45" s="14">
        <v>1.8</v>
      </c>
      <c r="F45" s="56">
        <f t="shared" ref="F45:F49" si="39">(F6-G6)/$B$2</f>
        <v>-0.14172322318309227</v>
      </c>
      <c r="G45" s="57">
        <f>(F6-H6)/(2*$B$2)</f>
        <v>-0.16217037896549158</v>
      </c>
      <c r="H45" s="57">
        <f t="shared" ref="H45:S45" si="40">(G6-I6)/(2*$B$2)</f>
        <v>-0.22432088086711932</v>
      </c>
      <c r="I45" s="57">
        <f t="shared" si="40"/>
        <v>-0.32587253011682193</v>
      </c>
      <c r="J45" s="57">
        <f t="shared" si="40"/>
        <v>-0.44703483125754229</v>
      </c>
      <c r="K45" s="57">
        <f t="shared" si="40"/>
        <v>-0.53768376688820396</v>
      </c>
      <c r="L45" s="57">
        <f t="shared" si="40"/>
        <v>-0.5631553037299053</v>
      </c>
      <c r="M45" s="57">
        <f t="shared" si="40"/>
        <v>-0.53474855543102162</v>
      </c>
      <c r="N45" s="57">
        <f t="shared" si="40"/>
        <v>-0.47714324148726117</v>
      </c>
      <c r="O45" s="57">
        <f t="shared" si="40"/>
        <v>-0.4105967183315018</v>
      </c>
      <c r="P45" s="57">
        <f t="shared" si="40"/>
        <v>-0.34775529158747265</v>
      </c>
      <c r="Q45" s="57">
        <f t="shared" si="40"/>
        <v>-0.29543744076836909</v>
      </c>
      <c r="R45" s="57">
        <f t="shared" si="40"/>
        <v>-0.25690080518557146</v>
      </c>
      <c r="S45" s="57">
        <f t="shared" si="40"/>
        <v>-0.23349060949859002</v>
      </c>
      <c r="T45" s="56">
        <f t="shared" ref="T45:T54" si="41">(T6-S6)/$B$2</f>
        <v>0.22565606858716336</v>
      </c>
    </row>
    <row r="46" spans="4:20" x14ac:dyDescent="0.25">
      <c r="E46" s="14">
        <v>1.6</v>
      </c>
      <c r="F46" s="56">
        <f t="shared" si="39"/>
        <v>-0.24255214484940613</v>
      </c>
      <c r="G46" s="57">
        <f t="shared" ref="G46:S54" si="42">(F7-H7)/(2*$B$2)</f>
        <v>-0.28263742212329301</v>
      </c>
      <c r="H46" s="57">
        <f t="shared" si="42"/>
        <v>-0.40924062698127317</v>
      </c>
      <c r="I46" s="57">
        <f t="shared" si="42"/>
        <v>-0.63213442328832636</v>
      </c>
      <c r="J46" s="57">
        <f t="shared" si="42"/>
        <v>-0.92458304671970026</v>
      </c>
      <c r="K46" s="57">
        <f t="shared" si="42"/>
        <v>-1.1405449525173661</v>
      </c>
      <c r="L46" s="57">
        <f t="shared" si="42"/>
        <v>-1.1801889125885667</v>
      </c>
      <c r="M46" s="57">
        <f t="shared" si="42"/>
        <v>-1.0986956917989343</v>
      </c>
      <c r="N46" s="57">
        <f t="shared" si="42"/>
        <v>-0.9632277006444756</v>
      </c>
      <c r="O46" s="57">
        <f t="shared" si="42"/>
        <v>-0.81748833888849015</v>
      </c>
      <c r="P46" s="57">
        <f t="shared" si="42"/>
        <v>-0.68498699477317349</v>
      </c>
      <c r="Q46" s="57">
        <f t="shared" si="42"/>
        <v>-0.57709364390614581</v>
      </c>
      <c r="R46" s="57">
        <f t="shared" si="42"/>
        <v>-0.49867513828544707</v>
      </c>
      <c r="S46" s="57">
        <f t="shared" si="42"/>
        <v>-0.45140552747744422</v>
      </c>
      <c r="T46" s="56">
        <f t="shared" si="41"/>
        <v>0.43564301516532122</v>
      </c>
    </row>
    <row r="47" spans="4:20" x14ac:dyDescent="0.25">
      <c r="E47" s="14">
        <v>1.4</v>
      </c>
      <c r="F47" s="56">
        <f t="shared" si="39"/>
        <v>-0.26321052795999833</v>
      </c>
      <c r="G47" s="57">
        <f t="shared" si="42"/>
        <v>-0.31658655548624015</v>
      </c>
      <c r="H47" s="57">
        <f t="shared" si="42"/>
        <v>-0.4978698022858552</v>
      </c>
      <c r="I47" s="57">
        <f t="shared" si="42"/>
        <v>-0.86884151664916809</v>
      </c>
      <c r="J47" s="57">
        <f t="shared" si="42"/>
        <v>-1.478618013041082</v>
      </c>
      <c r="K47" s="57">
        <f t="shared" si="42"/>
        <v>-1.9197241234235962</v>
      </c>
      <c r="L47" s="57">
        <f t="shared" si="42"/>
        <v>-1.9183597399013141</v>
      </c>
      <c r="M47" s="57">
        <f t="shared" si="42"/>
        <v>-1.7166176300466529</v>
      </c>
      <c r="N47" s="57">
        <f t="shared" si="42"/>
        <v>-1.4595835472949492</v>
      </c>
      <c r="O47" s="57">
        <f t="shared" si="42"/>
        <v>-1.2111419404800872</v>
      </c>
      <c r="P47" s="57">
        <f t="shared" si="42"/>
        <v>-0.99761068300190381</v>
      </c>
      <c r="Q47" s="57">
        <f t="shared" si="42"/>
        <v>-0.82927495865456002</v>
      </c>
      <c r="R47" s="57">
        <f t="shared" si="42"/>
        <v>-0.70930051841056718</v>
      </c>
      <c r="S47" s="57">
        <f t="shared" si="42"/>
        <v>-0.63781327525969544</v>
      </c>
      <c r="T47" s="56">
        <f t="shared" si="41"/>
        <v>0.61410486416865862</v>
      </c>
    </row>
    <row r="48" spans="4:20" x14ac:dyDescent="0.25">
      <c r="E48" s="14">
        <v>1.2</v>
      </c>
      <c r="F48" s="56">
        <f t="shared" si="39"/>
        <v>-0.17711687309761359</v>
      </c>
      <c r="G48" s="57">
        <f t="shared" si="42"/>
        <v>-0.22262848745701169</v>
      </c>
      <c r="H48" s="57">
        <f t="shared" si="42"/>
        <v>-0.39681053325788973</v>
      </c>
      <c r="I48" s="57">
        <f t="shared" si="42"/>
        <v>-0.86674385870201154</v>
      </c>
      <c r="J48" s="57">
        <f t="shared" si="42"/>
        <v>-2.2013234100929902</v>
      </c>
      <c r="K48" s="57">
        <f t="shared" si="42"/>
        <v>-3.1413738415868209</v>
      </c>
      <c r="L48" s="57">
        <f t="shared" si="42"/>
        <v>-2.8569083498987347</v>
      </c>
      <c r="M48" s="57">
        <f t="shared" si="42"/>
        <v>-2.3898315862556108</v>
      </c>
      <c r="N48" s="57">
        <f t="shared" si="42"/>
        <v>-1.9473469455940928</v>
      </c>
      <c r="O48" s="57">
        <f t="shared" si="42"/>
        <v>-1.569885194087457</v>
      </c>
      <c r="P48" s="57">
        <f t="shared" si="42"/>
        <v>-1.2650388099229337</v>
      </c>
      <c r="Q48" s="57">
        <f t="shared" si="42"/>
        <v>-1.0330949343507578</v>
      </c>
      <c r="R48" s="57">
        <f t="shared" si="42"/>
        <v>-0.87143862041824782</v>
      </c>
      <c r="S48" s="57">
        <f t="shared" si="42"/>
        <v>-0.77644209756033034</v>
      </c>
      <c r="T48" s="56">
        <f t="shared" si="41"/>
        <v>0.7451497885326086</v>
      </c>
    </row>
    <row r="49" spans="4:20" x14ac:dyDescent="0.25">
      <c r="E49" s="14">
        <v>1</v>
      </c>
      <c r="F49" s="56">
        <f t="shared" si="39"/>
        <v>0</v>
      </c>
      <c r="G49" s="57">
        <f t="shared" ref="G49:J49" si="43">(F23-H23)/(2*$B$2)</f>
        <v>0</v>
      </c>
      <c r="H49" s="57">
        <f t="shared" si="43"/>
        <v>0</v>
      </c>
      <c r="I49" s="57">
        <f t="shared" si="43"/>
        <v>0</v>
      </c>
      <c r="J49" s="57">
        <f t="shared" si="43"/>
        <v>-3.3185579623607198</v>
      </c>
      <c r="K49" s="57">
        <f t="shared" si="42"/>
        <v>-5.5875395515061266</v>
      </c>
      <c r="L49" s="57">
        <f t="shared" si="42"/>
        <v>-3.9780683011902194</v>
      </c>
      <c r="M49" s="57">
        <f t="shared" si="42"/>
        <v>-3.038453480730352</v>
      </c>
      <c r="N49" s="57">
        <f t="shared" si="42"/>
        <v>-2.3700874919520531</v>
      </c>
      <c r="O49" s="57">
        <f t="shared" si="42"/>
        <v>-1.8560130875718261</v>
      </c>
      <c r="P49" s="57">
        <f t="shared" si="42"/>
        <v>-1.4595644008798314</v>
      </c>
      <c r="Q49" s="57">
        <f t="shared" si="42"/>
        <v>-1.1666272852926673</v>
      </c>
      <c r="R49" s="57">
        <f t="shared" si="42"/>
        <v>-0.96691684263016331</v>
      </c>
      <c r="S49" s="57">
        <f t="shared" si="42"/>
        <v>-0.85136659489902788</v>
      </c>
      <c r="T49" s="56">
        <f t="shared" si="41"/>
        <v>0.81360998127913309</v>
      </c>
    </row>
    <row r="50" spans="4:20" x14ac:dyDescent="0.25">
      <c r="E50" s="14">
        <v>0.8</v>
      </c>
      <c r="F50" s="58"/>
      <c r="G50" s="58"/>
      <c r="H50" s="58"/>
      <c r="I50" s="58"/>
      <c r="J50" s="58"/>
      <c r="K50" s="56">
        <f>(K11-L11)/$B$2</f>
        <v>-5.0084557064001389</v>
      </c>
      <c r="L50" s="57">
        <f t="shared" si="42"/>
        <v>-4.429371908335602</v>
      </c>
      <c r="M50" s="57">
        <f t="shared" si="42"/>
        <v>-3.4158266150930614</v>
      </c>
      <c r="N50" s="57">
        <f t="shared" si="42"/>
        <v>-2.6385365037777286</v>
      </c>
      <c r="O50" s="57">
        <f t="shared" si="42"/>
        <v>-2.0245152784801954</v>
      </c>
      <c r="P50" s="57">
        <f t="shared" si="42"/>
        <v>-1.5505783974773069</v>
      </c>
      <c r="Q50" s="57">
        <f t="shared" si="42"/>
        <v>-1.2069329043610866</v>
      </c>
      <c r="R50" s="57">
        <f t="shared" si="42"/>
        <v>-0.97823477729871322</v>
      </c>
      <c r="S50" s="57">
        <f t="shared" si="42"/>
        <v>-0.8484973488655867</v>
      </c>
      <c r="T50" s="56">
        <f t="shared" si="41"/>
        <v>0.80655682622129854</v>
      </c>
    </row>
    <row r="51" spans="4:20" x14ac:dyDescent="0.25">
      <c r="E51" s="14">
        <v>0.6</v>
      </c>
      <c r="F51" s="58"/>
      <c r="G51" s="58"/>
      <c r="H51" s="58"/>
      <c r="I51" s="58"/>
      <c r="J51" s="58"/>
      <c r="K51" s="58"/>
      <c r="L51" s="56">
        <f>(L12-M12)/$B$2</f>
        <v>-3.9931582556852718</v>
      </c>
      <c r="M51" s="57">
        <f t="shared" si="42"/>
        <v>-3.5569446513351886</v>
      </c>
      <c r="N51" s="57">
        <f t="shared" si="42"/>
        <v>-2.7437166874018675</v>
      </c>
      <c r="O51" s="57">
        <f t="shared" si="42"/>
        <v>-2.052933150519872</v>
      </c>
      <c r="P51" s="57">
        <f t="shared" si="42"/>
        <v>-1.5113009926563952</v>
      </c>
      <c r="Q51" s="57">
        <f t="shared" si="42"/>
        <v>-1.1322911052138673</v>
      </c>
      <c r="R51" s="57">
        <f t="shared" si="42"/>
        <v>-0.89059193278937632</v>
      </c>
      <c r="S51" s="57">
        <f t="shared" si="42"/>
        <v>-0.75783109293107165</v>
      </c>
      <c r="T51" s="56">
        <f t="shared" si="41"/>
        <v>0.71562251861944981</v>
      </c>
    </row>
    <row r="52" spans="4:20" x14ac:dyDescent="0.25">
      <c r="E52" s="14">
        <v>0.4</v>
      </c>
      <c r="F52" s="58"/>
      <c r="G52" s="58"/>
      <c r="H52" s="58"/>
      <c r="I52" s="58"/>
      <c r="J52" s="58"/>
      <c r="K52" s="58"/>
      <c r="L52" s="58"/>
      <c r="M52" s="56">
        <f>(M13-N13)/$B$2</f>
        <v>-3.1416985601510459</v>
      </c>
      <c r="N52" s="57">
        <f t="shared" si="42"/>
        <v>-2.7264525115784246</v>
      </c>
      <c r="O52" s="57">
        <f t="shared" si="42"/>
        <v>-1.9321996767968119</v>
      </c>
      <c r="P52" s="57">
        <f t="shared" si="42"/>
        <v>-1.309401314346037</v>
      </c>
      <c r="Q52" s="57">
        <f t="shared" si="42"/>
        <v>-0.92033855399943409</v>
      </c>
      <c r="R52" s="57">
        <f t="shared" si="42"/>
        <v>-0.69401068876231098</v>
      </c>
      <c r="S52" s="57">
        <f t="shared" si="42"/>
        <v>-0.57661248912823093</v>
      </c>
      <c r="T52" s="56">
        <f t="shared" si="41"/>
        <v>0.54027097062645413</v>
      </c>
    </row>
    <row r="53" spans="4:20" x14ac:dyDescent="0.25">
      <c r="E53" s="14">
        <v>0.2</v>
      </c>
      <c r="F53" s="58"/>
      <c r="G53" s="58"/>
      <c r="H53" s="58"/>
      <c r="I53" s="58"/>
      <c r="J53" s="58"/>
      <c r="K53" s="58"/>
      <c r="L53" s="58"/>
      <c r="M53" s="58"/>
      <c r="N53" s="56">
        <f>(N14-O14)/$B$2</f>
        <v>-2.1832321265666876</v>
      </c>
      <c r="O53" s="57">
        <f t="shared" si="42"/>
        <v>-1.640011771180242</v>
      </c>
      <c r="P53" s="57">
        <f t="shared" si="42"/>
        <v>-0.87376604007496605</v>
      </c>
      <c r="Q53" s="57">
        <f t="shared" si="42"/>
        <v>-0.54565108458462686</v>
      </c>
      <c r="R53" s="57">
        <f t="shared" si="42"/>
        <v>-0.38849973507921937</v>
      </c>
      <c r="S53" s="57">
        <f t="shared" si="42"/>
        <v>-0.31433714423513115</v>
      </c>
      <c r="T53" s="56">
        <f t="shared" si="41"/>
        <v>0.29223632312494141</v>
      </c>
    </row>
    <row r="54" spans="4:20" x14ac:dyDescent="0.25">
      <c r="E54" s="14">
        <v>0</v>
      </c>
      <c r="F54" s="59"/>
      <c r="G54" s="58"/>
      <c r="H54" s="58"/>
      <c r="I54" s="58"/>
      <c r="J54" s="58"/>
      <c r="K54" s="58"/>
      <c r="L54" s="58"/>
      <c r="M54" s="58"/>
      <c r="N54" s="58"/>
      <c r="O54" s="56">
        <f>(O15-P15)/$B$2</f>
        <v>0</v>
      </c>
      <c r="P54" s="57">
        <f t="shared" si="42"/>
        <v>0</v>
      </c>
      <c r="Q54" s="57">
        <f t="shared" si="42"/>
        <v>0</v>
      </c>
      <c r="R54" s="57">
        <f t="shared" si="42"/>
        <v>0</v>
      </c>
      <c r="S54" s="57">
        <f t="shared" si="42"/>
        <v>0</v>
      </c>
      <c r="T54" s="56">
        <f t="shared" si="41"/>
        <v>0</v>
      </c>
    </row>
    <row r="55" spans="4:20" x14ac:dyDescent="0.25">
      <c r="F55" s="1">
        <v>0</v>
      </c>
      <c r="G55" s="1">
        <v>0.2</v>
      </c>
      <c r="H55" s="1">
        <v>0.4</v>
      </c>
      <c r="I55" s="1">
        <v>0.6</v>
      </c>
      <c r="J55" s="1">
        <v>0.8</v>
      </c>
      <c r="K55" s="1">
        <v>1</v>
      </c>
      <c r="L55" s="1">
        <v>1.2</v>
      </c>
      <c r="M55" s="1">
        <v>1.4</v>
      </c>
      <c r="N55" s="1">
        <v>1.6</v>
      </c>
      <c r="O55" s="1">
        <v>1.8</v>
      </c>
      <c r="P55" s="1">
        <v>2</v>
      </c>
      <c r="Q55" s="1">
        <v>2.2000000000000002</v>
      </c>
      <c r="R55" s="1">
        <v>2.4</v>
      </c>
      <c r="S55" s="1">
        <v>2.6</v>
      </c>
      <c r="T55" s="1">
        <v>2.8</v>
      </c>
    </row>
    <row r="57" spans="4:20" x14ac:dyDescent="0.25">
      <c r="D57" s="19" t="s">
        <v>12</v>
      </c>
      <c r="E57" s="14">
        <v>2</v>
      </c>
      <c r="F57" s="21">
        <f>(F31^2+F44^2)^0.5</f>
        <v>10</v>
      </c>
      <c r="G57" s="21">
        <f t="shared" ref="G57:T57" si="44">(G31^2+G44^2)^0.5</f>
        <v>9.8582767768169077</v>
      </c>
      <c r="H57" s="21">
        <f t="shared" si="44"/>
        <v>9.6756592420690168</v>
      </c>
      <c r="I57" s="21">
        <f t="shared" si="44"/>
        <v>9.4096350150826691</v>
      </c>
      <c r="J57" s="21">
        <f t="shared" si="44"/>
        <v>9.023914181835373</v>
      </c>
      <c r="K57" s="21">
        <f t="shared" si="44"/>
        <v>8.5155653525675845</v>
      </c>
      <c r="L57" s="21">
        <f t="shared" si="44"/>
        <v>7.948546648058965</v>
      </c>
      <c r="M57" s="21">
        <f t="shared" si="44"/>
        <v>7.3892547451077739</v>
      </c>
      <c r="N57" s="21">
        <f t="shared" si="44"/>
        <v>6.8790495371969218</v>
      </c>
      <c r="O57" s="21">
        <f t="shared" si="44"/>
        <v>6.4349682621332516</v>
      </c>
      <c r="P57" s="21">
        <f t="shared" si="44"/>
        <v>6.0578561005339182</v>
      </c>
      <c r="Q57" s="21">
        <f t="shared" si="44"/>
        <v>5.7394576789583063</v>
      </c>
      <c r="R57" s="21">
        <f t="shared" si="44"/>
        <v>5.46698121899718</v>
      </c>
      <c r="S57" s="21">
        <f t="shared" si="44"/>
        <v>5.2256560685871634</v>
      </c>
      <c r="T57" s="21">
        <f t="shared" si="44"/>
        <v>5</v>
      </c>
    </row>
    <row r="58" spans="4:20" x14ac:dyDescent="0.25">
      <c r="E58" s="14">
        <v>1.8</v>
      </c>
      <c r="F58" s="21">
        <f t="shared" ref="F58:T62" si="45">(F32^2+F45^2)^0.5</f>
        <v>10.001004223176261</v>
      </c>
      <c r="G58" s="22">
        <f t="shared" si="45"/>
        <v>9.8800549426135529</v>
      </c>
      <c r="H58" s="22">
        <f t="shared" si="45"/>
        <v>9.7199514056147223</v>
      </c>
      <c r="I58" s="22">
        <f t="shared" si="45"/>
        <v>9.4750887534689507</v>
      </c>
      <c r="J58" s="22">
        <f t="shared" si="45"/>
        <v>9.0962195862502604</v>
      </c>
      <c r="K58" s="22">
        <f t="shared" si="45"/>
        <v>8.5618002885979863</v>
      </c>
      <c r="L58" s="22">
        <f t="shared" si="45"/>
        <v>7.9646176981314341</v>
      </c>
      <c r="M58" s="22">
        <f t="shared" si="45"/>
        <v>7.3840997527118102</v>
      </c>
      <c r="N58" s="22">
        <f t="shared" si="45"/>
        <v>6.8625950385913255</v>
      </c>
      <c r="O58" s="22">
        <f t="shared" si="45"/>
        <v>6.4146381399501058</v>
      </c>
      <c r="P58" s="22">
        <f t="shared" si="45"/>
        <v>6.0385210111582559</v>
      </c>
      <c r="Q58" s="22">
        <f t="shared" si="45"/>
        <v>5.7241258881709696</v>
      </c>
      <c r="R58" s="22">
        <f t="shared" si="45"/>
        <v>5.4574554738189693</v>
      </c>
      <c r="S58" s="22">
        <f t="shared" si="45"/>
        <v>5.2230430928450327</v>
      </c>
      <c r="T58" s="22">
        <f t="shared" si="45"/>
        <v>5.0050894758525759</v>
      </c>
    </row>
    <row r="59" spans="4:20" x14ac:dyDescent="0.25">
      <c r="E59" s="14">
        <v>1.6</v>
      </c>
      <c r="F59" s="21">
        <f t="shared" si="45"/>
        <v>10.002941144631965</v>
      </c>
      <c r="G59" s="22">
        <f t="shared" si="45"/>
        <v>9.9432741416457446</v>
      </c>
      <c r="H59" s="22">
        <f t="shared" si="45"/>
        <v>9.8540853820092469</v>
      </c>
      <c r="I59" s="22">
        <f t="shared" si="45"/>
        <v>9.6863560732540126</v>
      </c>
      <c r="J59" s="22">
        <f t="shared" si="45"/>
        <v>9.3484488881774475</v>
      </c>
      <c r="K59" s="22">
        <f t="shared" si="45"/>
        <v>8.7091299368311645</v>
      </c>
      <c r="L59" s="22">
        <f t="shared" si="45"/>
        <v>8.008017605446625</v>
      </c>
      <c r="M59" s="22">
        <f t="shared" si="45"/>
        <v>7.3613725485085357</v>
      </c>
      <c r="N59" s="22">
        <f t="shared" si="45"/>
        <v>6.8071989944022855</v>
      </c>
      <c r="O59" s="22">
        <f t="shared" si="45"/>
        <v>6.3493260515382266</v>
      </c>
      <c r="P59" s="22">
        <f t="shared" si="45"/>
        <v>5.9775374151620735</v>
      </c>
      <c r="Q59" s="22">
        <f t="shared" si="45"/>
        <v>5.676037431601487</v>
      </c>
      <c r="R59" s="22">
        <f t="shared" si="45"/>
        <v>5.427281121261661</v>
      </c>
      <c r="S59" s="22">
        <f t="shared" si="45"/>
        <v>5.2138022636883576</v>
      </c>
      <c r="T59" s="22">
        <f t="shared" si="45"/>
        <v>5.0189426014512595</v>
      </c>
    </row>
    <row r="60" spans="4:20" x14ac:dyDescent="0.25">
      <c r="E60" s="14">
        <v>1.4</v>
      </c>
      <c r="F60" s="21">
        <f t="shared" si="45"/>
        <v>10.003463389348161</v>
      </c>
      <c r="G60" s="22">
        <f t="shared" si="45"/>
        <v>10.03771140292098</v>
      </c>
      <c r="H60" s="22">
        <f t="shared" si="45"/>
        <v>10.072321187571093</v>
      </c>
      <c r="I60" s="22">
        <f t="shared" si="45"/>
        <v>10.082652353945701</v>
      </c>
      <c r="J60" s="22">
        <f t="shared" si="45"/>
        <v>9.9360347497582104</v>
      </c>
      <c r="K60" s="22">
        <f t="shared" si="45"/>
        <v>8.9760965040567982</v>
      </c>
      <c r="L60" s="22">
        <f t="shared" si="45"/>
        <v>8.0563024599015645</v>
      </c>
      <c r="M60" s="22">
        <f t="shared" si="45"/>
        <v>7.2964932514816576</v>
      </c>
      <c r="N60" s="22">
        <f t="shared" si="45"/>
        <v>6.6944867851235506</v>
      </c>
      <c r="O60" s="22">
        <f t="shared" si="45"/>
        <v>6.226496609599538</v>
      </c>
      <c r="P60" s="22">
        <f t="shared" si="45"/>
        <v>5.8664832582810522</v>
      </c>
      <c r="Q60" s="22">
        <f t="shared" si="45"/>
        <v>5.5893773975373922</v>
      </c>
      <c r="R60" s="22">
        <f t="shared" si="45"/>
        <v>5.3720686609664252</v>
      </c>
      <c r="S60" s="22">
        <f t="shared" si="45"/>
        <v>5.1940627885715811</v>
      </c>
      <c r="T60" s="22">
        <f t="shared" si="45"/>
        <v>5.0375713180257415</v>
      </c>
    </row>
    <row r="61" spans="4:20" x14ac:dyDescent="0.25">
      <c r="E61" s="14">
        <v>1.2</v>
      </c>
      <c r="F61" s="21">
        <f t="shared" si="45"/>
        <v>10.001568396343439</v>
      </c>
      <c r="G61" s="22">
        <f t="shared" si="45"/>
        <v>10.134050950559438</v>
      </c>
      <c r="H61" s="22">
        <f t="shared" si="45"/>
        <v>10.324215067313535</v>
      </c>
      <c r="I61" s="22">
        <f t="shared" si="45"/>
        <v>10.664754338519248</v>
      </c>
      <c r="J61" s="22">
        <f t="shared" si="45"/>
        <v>11.39998359265215</v>
      </c>
      <c r="K61" s="22">
        <f t="shared" si="45"/>
        <v>9.3340321942201481</v>
      </c>
      <c r="L61" s="22">
        <f t="shared" si="45"/>
        <v>8.0421654537658451</v>
      </c>
      <c r="M61" s="22">
        <f t="shared" si="45"/>
        <v>7.1415586772512292</v>
      </c>
      <c r="N61" s="22">
        <f t="shared" si="45"/>
        <v>6.4945985403076847</v>
      </c>
      <c r="O61" s="22">
        <f t="shared" si="45"/>
        <v>6.0273588787364423</v>
      </c>
      <c r="P61" s="22">
        <f t="shared" si="45"/>
        <v>5.6932307773781661</v>
      </c>
      <c r="Q61" s="22">
        <f t="shared" si="45"/>
        <v>5.4560687760974256</v>
      </c>
      <c r="R61" s="22">
        <f t="shared" si="45"/>
        <v>5.2858815240108017</v>
      </c>
      <c r="S61" s="22">
        <f t="shared" si="45"/>
        <v>5.1585209594761343</v>
      </c>
      <c r="T61" s="22">
        <f t="shared" si="45"/>
        <v>5.0552198970321944</v>
      </c>
    </row>
    <row r="62" spans="4:20" x14ac:dyDescent="0.25">
      <c r="E62" s="14">
        <v>1</v>
      </c>
      <c r="F62" s="21">
        <f t="shared" si="45"/>
        <v>10</v>
      </c>
      <c r="G62" s="21">
        <f t="shared" si="45"/>
        <v>10.177116873097614</v>
      </c>
      <c r="H62" s="21">
        <f t="shared" si="45"/>
        <v>10.445256974914022</v>
      </c>
      <c r="I62" s="21">
        <f t="shared" si="45"/>
        <v>10.970737939613393</v>
      </c>
      <c r="J62" s="21">
        <f t="shared" si="45"/>
        <v>12.622782943163235</v>
      </c>
      <c r="K62" s="22">
        <f t="shared" ref="K62:T62" si="46">(K36^2+K49^2)^0.5</f>
        <v>9.5029383867755968</v>
      </c>
      <c r="L62" s="22">
        <f t="shared" si="46"/>
        <v>7.8147985459584879</v>
      </c>
      <c r="M62" s="22">
        <f t="shared" si="46"/>
        <v>6.8275906171774103</v>
      </c>
      <c r="N62" s="22">
        <f t="shared" si="46"/>
        <v>6.1735954417528305</v>
      </c>
      <c r="O62" s="22">
        <f t="shared" si="46"/>
        <v>5.7318530539700276</v>
      </c>
      <c r="P62" s="22">
        <f t="shared" si="46"/>
        <v>5.4451560060075881</v>
      </c>
      <c r="Q62" s="22">
        <f t="shared" si="46"/>
        <v>5.268294044646888</v>
      </c>
      <c r="R62" s="22">
        <f t="shared" si="46"/>
        <v>5.163397394434706</v>
      </c>
      <c r="S62" s="22">
        <f t="shared" si="46"/>
        <v>5.1022350958597382</v>
      </c>
      <c r="T62" s="22">
        <f t="shared" si="46"/>
        <v>5.0657636346001214</v>
      </c>
    </row>
    <row r="63" spans="4:20" x14ac:dyDescent="0.25">
      <c r="E63" s="14">
        <v>0.8</v>
      </c>
      <c r="K63" s="21">
        <f t="shared" ref="K63:T63" si="47">(K37^2+K50^2)^0.5</f>
        <v>8.3148022607799792</v>
      </c>
      <c r="L63" s="22">
        <f t="shared" si="47"/>
        <v>7.1302127417067904</v>
      </c>
      <c r="M63" s="22">
        <f t="shared" si="47"/>
        <v>6.3054239520266844</v>
      </c>
      <c r="N63" s="22">
        <f t="shared" si="47"/>
        <v>5.7146414034203046</v>
      </c>
      <c r="O63" s="22">
        <f t="shared" ref="O63:S67" si="48">(O37^2+O50^2)^0.5</f>
        <v>5.3261858714141894</v>
      </c>
      <c r="P63" s="22">
        <f t="shared" si="48"/>
        <v>5.1129177299586184</v>
      </c>
      <c r="Q63" s="22">
        <f t="shared" si="48"/>
        <v>5.0218726970870193</v>
      </c>
      <c r="R63" s="22">
        <f t="shared" si="48"/>
        <v>5.0030327952118698</v>
      </c>
      <c r="S63" s="22">
        <f t="shared" si="48"/>
        <v>5.0231873171765278</v>
      </c>
      <c r="T63" s="22">
        <f t="shared" si="47"/>
        <v>5.0646356151182461</v>
      </c>
    </row>
    <row r="64" spans="4:20" x14ac:dyDescent="0.25">
      <c r="E64" s="14">
        <v>0.6</v>
      </c>
      <c r="L64" s="21">
        <f t="shared" ref="L64:N64" si="49">(L38^2+L51^2)^0.5</f>
        <v>6.4054618426714214</v>
      </c>
      <c r="M64" s="22">
        <f t="shared" si="49"/>
        <v>5.6807737813624106</v>
      </c>
      <c r="N64" s="22">
        <f t="shared" si="49"/>
        <v>5.1423308946378041</v>
      </c>
      <c r="O64" s="22">
        <f t="shared" si="48"/>
        <v>4.8023716908203591</v>
      </c>
      <c r="P64" s="22">
        <f t="shared" si="48"/>
        <v>4.6916028836131183</v>
      </c>
      <c r="Q64" s="22">
        <f t="shared" si="48"/>
        <v>4.7204457639010737</v>
      </c>
      <c r="R64" s="22">
        <f t="shared" si="48"/>
        <v>4.8112604138967949</v>
      </c>
      <c r="S64" s="22">
        <f t="shared" si="48"/>
        <v>4.9255056315734072</v>
      </c>
      <c r="T64" s="22">
        <f t="shared" ref="T64" si="50">(T38^2+T51^2)^0.5</f>
        <v>5.0509519488068033</v>
      </c>
    </row>
    <row r="65" spans="5:20" x14ac:dyDescent="0.25">
      <c r="E65" s="14">
        <v>0.4</v>
      </c>
      <c r="M65" s="21">
        <f t="shared" ref="M65:N65" si="51">(M39^2+M52^2)^0.5</f>
        <v>5.0809037284525083</v>
      </c>
      <c r="N65" s="22">
        <f t="shared" si="51"/>
        <v>4.4816736327575555</v>
      </c>
      <c r="O65" s="22">
        <f t="shared" si="48"/>
        <v>4.12871160574156</v>
      </c>
      <c r="P65" s="22">
        <f t="shared" si="48"/>
        <v>4.1802354124519079</v>
      </c>
      <c r="Q65" s="22">
        <f t="shared" si="48"/>
        <v>4.383909162769557</v>
      </c>
      <c r="R65" s="22">
        <f t="shared" si="48"/>
        <v>4.6090561107114816</v>
      </c>
      <c r="S65" s="22">
        <f t="shared" si="48"/>
        <v>4.8229000562711164</v>
      </c>
      <c r="T65" s="22">
        <f t="shared" ref="T65" si="52">(T39^2+T52^2)^0.5</f>
        <v>5.0291045646020969</v>
      </c>
    </row>
    <row r="66" spans="5:20" x14ac:dyDescent="0.25">
      <c r="E66" s="14">
        <v>0.2</v>
      </c>
      <c r="N66" s="21">
        <f t="shared" ref="N66" si="53">(N40^2+N53^2)^0.5</f>
        <v>3.8258034922520596</v>
      </c>
      <c r="O66" s="22">
        <f t="shared" si="48"/>
        <v>3.1816948168392982</v>
      </c>
      <c r="P66" s="22">
        <f t="shared" si="48"/>
        <v>3.6103765852100027</v>
      </c>
      <c r="Q66" s="22">
        <f t="shared" si="48"/>
        <v>4.0725730454268705</v>
      </c>
      <c r="R66" s="22">
        <f t="shared" si="48"/>
        <v>4.4404154214997682</v>
      </c>
      <c r="S66" s="22">
        <f t="shared" si="48"/>
        <v>4.7402981095643169</v>
      </c>
      <c r="T66" s="22">
        <f t="shared" ref="T66" si="54">(T40^2+T53^2)^0.5</f>
        <v>5.0085329257731335</v>
      </c>
    </row>
    <row r="67" spans="5:20" x14ac:dyDescent="0.25">
      <c r="E67" s="14">
        <v>0</v>
      </c>
      <c r="O67" s="21">
        <f t="shared" si="48"/>
        <v>2.1832321265666876</v>
      </c>
      <c r="P67" s="21">
        <f t="shared" si="48"/>
        <v>3.280023542360484</v>
      </c>
      <c r="Q67" s="21">
        <f t="shared" si="48"/>
        <v>3.9307642067166197</v>
      </c>
      <c r="R67" s="21">
        <f t="shared" si="48"/>
        <v>4.371325711529737</v>
      </c>
      <c r="S67" s="21">
        <f t="shared" si="48"/>
        <v>4.7077636768750581</v>
      </c>
      <c r="T67" s="21">
        <f t="shared" ref="T67" si="55">(T41^2+T54^2)^0.5</f>
        <v>5</v>
      </c>
    </row>
    <row r="68" spans="5:20" x14ac:dyDescent="0.25">
      <c r="F68" s="1">
        <v>0</v>
      </c>
      <c r="G68" s="1">
        <v>0.2</v>
      </c>
      <c r="H68" s="1">
        <v>0.4</v>
      </c>
      <c r="I68" s="1">
        <v>0.6</v>
      </c>
      <c r="J68" s="1">
        <v>0.8</v>
      </c>
      <c r="K68" s="1">
        <v>1</v>
      </c>
      <c r="L68" s="1">
        <v>1.2</v>
      </c>
      <c r="M68" s="1">
        <v>1.4</v>
      </c>
      <c r="N68" s="1">
        <v>1.6</v>
      </c>
      <c r="O68" s="1">
        <v>1.8</v>
      </c>
      <c r="P68" s="1">
        <v>2</v>
      </c>
      <c r="Q68" s="1">
        <v>2.2000000000000002</v>
      </c>
      <c r="R68" s="1">
        <v>2.4</v>
      </c>
      <c r="S68" s="1">
        <v>2.6</v>
      </c>
      <c r="T68" s="1">
        <v>2.8</v>
      </c>
    </row>
  </sheetData>
  <conditionalFormatting sqref="F18:T2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T4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57:T67">
    <cfRule type="colorScale" priority="5">
      <colorScale>
        <cfvo type="min"/>
        <cfvo type="max"/>
        <color rgb="FFFCFCFF"/>
        <color rgb="FFF8696B"/>
      </colorScale>
    </cfRule>
  </conditionalFormatting>
  <conditionalFormatting sqref="F44:T54">
    <cfRule type="colorScale" priority="1">
      <colorScale>
        <cfvo type="min"/>
        <cfvo type="num" val="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terat">
                <anchor moveWithCells="1" sizeWithCells="1">
                  <from>
                    <xdr:col>0</xdr:col>
                    <xdr:colOff>342900</xdr:colOff>
                    <xdr:row>17</xdr:row>
                    <xdr:rowOff>152400</xdr:rowOff>
                  </from>
                  <to>
                    <xdr:col>2</xdr:col>
                    <xdr:colOff>257175</xdr:colOff>
                    <xdr:row>20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iscard">
                <anchor moveWithCells="1" sizeWithCells="1">
                  <from>
                    <xdr:col>0</xdr:col>
                    <xdr:colOff>314325</xdr:colOff>
                    <xdr:row>22</xdr:row>
                    <xdr:rowOff>133350</xdr:rowOff>
                  </from>
                  <to>
                    <xdr:col>2</xdr:col>
                    <xdr:colOff>247650</xdr:colOff>
                    <xdr:row>25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31"/>
  <sheetViews>
    <sheetView workbookViewId="0">
      <selection activeCell="R3" sqref="R3"/>
    </sheetView>
  </sheetViews>
  <sheetFormatPr defaultRowHeight="15" x14ac:dyDescent="0.25"/>
  <sheetData>
    <row r="1" spans="1:18" x14ac:dyDescent="0.25">
      <c r="A1" s="30">
        <v>0.5</v>
      </c>
      <c r="B1" s="36">
        <v>1</v>
      </c>
      <c r="C1" s="36">
        <v>2</v>
      </c>
      <c r="D1" s="36">
        <v>3</v>
      </c>
      <c r="E1" s="36">
        <v>4</v>
      </c>
      <c r="F1" s="37">
        <v>5</v>
      </c>
      <c r="G1" s="36">
        <v>6</v>
      </c>
      <c r="H1" s="36">
        <v>7</v>
      </c>
      <c r="I1" s="36">
        <v>8</v>
      </c>
      <c r="J1" s="36">
        <v>9</v>
      </c>
      <c r="K1" s="36">
        <v>10</v>
      </c>
      <c r="L1" s="36">
        <v>11</v>
      </c>
      <c r="M1" s="36">
        <v>12</v>
      </c>
      <c r="N1" s="36">
        <v>13</v>
      </c>
      <c r="O1" s="36">
        <v>14</v>
      </c>
      <c r="P1" s="38">
        <v>15</v>
      </c>
    </row>
    <row r="2" spans="1:18" x14ac:dyDescent="0.25">
      <c r="A2" s="28" t="s">
        <v>9</v>
      </c>
      <c r="B2" s="26">
        <v>0.5</v>
      </c>
      <c r="C2" s="26">
        <v>0.5</v>
      </c>
      <c r="D2" s="26">
        <v>0.5</v>
      </c>
      <c r="E2" s="26">
        <v>0.5</v>
      </c>
      <c r="F2" s="26">
        <v>0.5</v>
      </c>
      <c r="G2" s="26">
        <v>0.5</v>
      </c>
      <c r="H2" s="26">
        <v>0.5</v>
      </c>
      <c r="I2" s="26">
        <v>0.5</v>
      </c>
      <c r="J2" s="26">
        <v>0.5</v>
      </c>
      <c r="K2" s="26">
        <v>0.5</v>
      </c>
      <c r="L2" s="26">
        <v>0.5</v>
      </c>
      <c r="M2" s="26">
        <v>0.5</v>
      </c>
      <c r="N2" s="26">
        <v>0.5</v>
      </c>
      <c r="O2" s="26">
        <v>0.5</v>
      </c>
      <c r="P2" s="26">
        <v>0.5</v>
      </c>
      <c r="R2" t="s">
        <v>20</v>
      </c>
    </row>
    <row r="3" spans="1:18" x14ac:dyDescent="0.25">
      <c r="A3" s="28" t="s">
        <v>13</v>
      </c>
      <c r="B3" s="26">
        <v>0</v>
      </c>
      <c r="C3" s="26">
        <v>0.2</v>
      </c>
      <c r="D3" s="26">
        <v>0.4</v>
      </c>
      <c r="E3" s="26">
        <v>0.6</v>
      </c>
      <c r="F3" s="26">
        <v>0.8</v>
      </c>
      <c r="G3" s="26">
        <v>1</v>
      </c>
      <c r="H3" s="26">
        <v>1.2</v>
      </c>
      <c r="I3" s="26">
        <v>1.4</v>
      </c>
      <c r="J3" s="26">
        <v>1.6</v>
      </c>
      <c r="K3" s="26">
        <v>1.8</v>
      </c>
      <c r="L3" s="26">
        <v>2</v>
      </c>
      <c r="M3" s="26">
        <v>2.2000000000000002</v>
      </c>
      <c r="N3" s="26">
        <v>2.4</v>
      </c>
      <c r="O3" s="26">
        <v>2.6</v>
      </c>
      <c r="P3" s="32">
        <v>2.8</v>
      </c>
    </row>
    <row r="4" spans="1:18" x14ac:dyDescent="0.25">
      <c r="A4" s="28" t="s">
        <v>14</v>
      </c>
      <c r="B4" s="26">
        <v>1.05</v>
      </c>
      <c r="C4" s="26">
        <v>1.05</v>
      </c>
      <c r="D4" s="26">
        <v>1.05</v>
      </c>
      <c r="E4" s="26">
        <v>1.05</v>
      </c>
      <c r="F4" s="26">
        <v>1.05</v>
      </c>
      <c r="G4" s="26">
        <v>1.05</v>
      </c>
      <c r="H4" s="26">
        <v>1.05</v>
      </c>
      <c r="I4" s="26">
        <v>1.05</v>
      </c>
      <c r="J4" s="26">
        <v>1.05</v>
      </c>
      <c r="K4" s="26">
        <v>1.05</v>
      </c>
      <c r="L4" s="26">
        <v>1.05</v>
      </c>
      <c r="M4" s="26">
        <v>1.05</v>
      </c>
      <c r="N4" s="26">
        <v>1.05</v>
      </c>
      <c r="O4" s="26">
        <v>1.05</v>
      </c>
      <c r="P4" s="26">
        <v>1.05</v>
      </c>
    </row>
    <row r="5" spans="1:18" x14ac:dyDescent="0.25">
      <c r="A5" s="28" t="s">
        <v>10</v>
      </c>
      <c r="B5" s="26">
        <f>Лист1!F9/Лист1!$B$2</f>
        <v>10</v>
      </c>
      <c r="C5" s="55">
        <f>B5+(Лист1!G9-Лист1!F9)/Лист1!$B$2</f>
        <v>10.177116873097614</v>
      </c>
      <c r="D5" s="55">
        <f>C5+(Лист1!H9-Лист1!G9)/Лист1!$B$2</f>
        <v>10.445256974914024</v>
      </c>
      <c r="E5" s="55">
        <f>D5+(Лист1!I9-Лист1!H9)/Лист1!$B$2</f>
        <v>10.970737939613393</v>
      </c>
      <c r="F5" s="55">
        <f>E5+(Лист1!J9-Лист1!I9)/Лист1!$B$2</f>
        <v>12.178744692318046</v>
      </c>
      <c r="G5" s="55">
        <f>F5+(Лист1!K10-Лист1!J9)/Лист1!$B$2</f>
        <v>6.6371159454163324</v>
      </c>
      <c r="H5" s="55">
        <f>G5+(Лист1!L11-Лист1!K10)/Лист1!$B$2</f>
        <v>5.0084557064001398</v>
      </c>
      <c r="I5" s="55">
        <f>H5+(Лист1!M12-Лист1!L11)/Лист1!$B$2</f>
        <v>3.9931582556852727</v>
      </c>
      <c r="J5" s="55">
        <f>I5+(Лист1!N13-Лист1!M12)/Лист1!$B$2</f>
        <v>3.1416985601510472</v>
      </c>
      <c r="K5" s="55">
        <f>J5+(Лист1!O14-Лист1!N13)/Лист1!$B$2</f>
        <v>2.183232126566689</v>
      </c>
      <c r="L5" s="55">
        <f>K5+(Лист1!P14-Лист1!O14)/Лист1!$B$2</f>
        <v>3.2800235423604853</v>
      </c>
      <c r="M5" s="55">
        <f>L5+(Лист1!Q14-Лист1!P14)/Лист1!$B$2</f>
        <v>3.9307642067166211</v>
      </c>
      <c r="N5" s="55">
        <f>M5+(Лист1!R14-Лист1!Q14)/Лист1!$B$2</f>
        <v>4.3713257115297388</v>
      </c>
      <c r="O5" s="55">
        <f>N5+(Лист1!S14-Лист1!R14)/Лист1!$B$2</f>
        <v>4.7077636768750599</v>
      </c>
      <c r="P5" s="55">
        <f>O5+(Лист1!T14-Лист1!S14)/Лист1!$B$2</f>
        <v>5.0000000000000018</v>
      </c>
    </row>
    <row r="6" spans="1:18" x14ac:dyDescent="0.25">
      <c r="A6" s="28" t="s">
        <v>11</v>
      </c>
      <c r="B6" s="55">
        <f>Лист1!F48</f>
        <v>-0.17711687309761359</v>
      </c>
      <c r="C6" s="55">
        <f>Лист1!G48</f>
        <v>-0.22262848745701169</v>
      </c>
      <c r="D6" s="55">
        <f>Лист1!H48</f>
        <v>-0.39681053325788973</v>
      </c>
      <c r="E6" s="55">
        <f>Лист1!I48</f>
        <v>-0.86674385870201154</v>
      </c>
      <c r="F6" s="55">
        <f>Лист1!J48</f>
        <v>-2.2013234100929902</v>
      </c>
      <c r="G6" s="55">
        <f>Лист1!K49</f>
        <v>-5.5875395515061266</v>
      </c>
      <c r="H6" s="55">
        <f>Лист1!L50</f>
        <v>-4.429371908335602</v>
      </c>
      <c r="I6" s="55">
        <f>Лист1!M51</f>
        <v>-3.5569446513351886</v>
      </c>
      <c r="J6" s="55">
        <f>Лист1!N52</f>
        <v>-2.7264525115784246</v>
      </c>
      <c r="K6" s="55">
        <f>Лист1!O53</f>
        <v>-1.640011771180242</v>
      </c>
      <c r="L6" s="55">
        <f>Лист1!P53</f>
        <v>-0.87376604007496605</v>
      </c>
      <c r="M6" s="55">
        <f>Лист1!Q53</f>
        <v>-0.54565108458462686</v>
      </c>
      <c r="N6" s="55">
        <f>Лист1!R53</f>
        <v>-0.38849973507921937</v>
      </c>
      <c r="O6" s="55">
        <f>Лист1!S53</f>
        <v>-0.31433714423513115</v>
      </c>
      <c r="P6" s="55">
        <f>Лист1!T53</f>
        <v>0.29223632312494141</v>
      </c>
    </row>
    <row r="7" spans="1:18" x14ac:dyDescent="0.25">
      <c r="A7" s="28" t="s">
        <v>15</v>
      </c>
      <c r="B7" s="26">
        <f>Лист1!F75</f>
        <v>0</v>
      </c>
      <c r="C7" s="26">
        <f>Лист1!G75</f>
        <v>0</v>
      </c>
      <c r="D7" s="26">
        <f>Лист1!H75</f>
        <v>0</v>
      </c>
      <c r="E7" s="26">
        <f>Лист1!I75</f>
        <v>0</v>
      </c>
      <c r="F7" s="26">
        <f>Лист1!J75</f>
        <v>0</v>
      </c>
      <c r="G7" s="26">
        <f>Лист1!K75</f>
        <v>0</v>
      </c>
      <c r="H7" s="26">
        <f>Лист1!L75</f>
        <v>0</v>
      </c>
      <c r="I7" s="26">
        <f>Лист1!M75</f>
        <v>0</v>
      </c>
      <c r="J7" s="26">
        <f>Лист1!N75</f>
        <v>0</v>
      </c>
      <c r="K7" s="26">
        <f>Лист1!O75</f>
        <v>0</v>
      </c>
      <c r="L7" s="26">
        <f>Лист1!P75</f>
        <v>0</v>
      </c>
      <c r="M7" s="26">
        <f>Лист1!Q75</f>
        <v>0</v>
      </c>
      <c r="N7" s="26">
        <f>Лист1!R75</f>
        <v>0</v>
      </c>
      <c r="O7" s="26">
        <f>Лист1!S75</f>
        <v>0</v>
      </c>
      <c r="P7" s="26">
        <f>Лист1!T75</f>
        <v>0</v>
      </c>
    </row>
    <row r="8" spans="1:18" x14ac:dyDescent="0.25">
      <c r="A8" s="28" t="s">
        <v>16</v>
      </c>
      <c r="B8" s="24">
        <f>Лист1!$B$5</f>
        <v>101325</v>
      </c>
      <c r="C8" s="24">
        <f>(B8+(B7^2)/2)-(C7^2)/2</f>
        <v>101325</v>
      </c>
      <c r="D8" s="24">
        <f>(C8+(C7^2)/2)-(D7^2)/2</f>
        <v>101325</v>
      </c>
      <c r="E8" s="24">
        <f>(D8+(D7^2)/2)-(E7^2)/2</f>
        <v>101325</v>
      </c>
      <c r="F8" s="24">
        <f>(E8+(E7^2)/2)-(F7^2)/2</f>
        <v>101325</v>
      </c>
      <c r="G8" s="24">
        <f>(F8+(F7^2)/2)-(G7^2)/2</f>
        <v>101325</v>
      </c>
      <c r="H8" s="24">
        <f>(G8+(G7^2)/2)-(H7^2)/2</f>
        <v>101325</v>
      </c>
      <c r="I8" s="24">
        <f>(H8+(H7^2)/2)-(I7^2)/2</f>
        <v>101325</v>
      </c>
      <c r="J8" s="24">
        <f>(I8+(I7^2)/2)-(J7^2)/2</f>
        <v>101325</v>
      </c>
      <c r="K8" s="24">
        <f>(J8+(J7^2)/2)-(K7^2)/2</f>
        <v>101325</v>
      </c>
      <c r="L8" s="24">
        <f>(K8+(K7^2)/2)-(L7^2)/2</f>
        <v>101325</v>
      </c>
      <c r="M8" s="24">
        <f>(L8+(L7^2)/2)-(M7^2)/2</f>
        <v>101325</v>
      </c>
      <c r="N8" s="24">
        <f>(M8+(M7^2)/2)-(N7^2)/2</f>
        <v>101325</v>
      </c>
      <c r="O8" s="24">
        <f>(N8+(N7^2)/2)-(O7^2)/2</f>
        <v>101325</v>
      </c>
      <c r="P8" s="41">
        <f>(O8+(O7^2)/2)-(P7^2)/2</f>
        <v>101325</v>
      </c>
    </row>
    <row r="9" spans="1:18" ht="15.75" thickBot="1" x14ac:dyDescent="0.3">
      <c r="A9" s="29" t="s">
        <v>17</v>
      </c>
      <c r="B9" s="27">
        <f>(B8-Лист1!$B$5)/((Лист1!$B$4^2)/2)</f>
        <v>0</v>
      </c>
      <c r="C9" s="27">
        <f>(C8-Лист1!$B$5)/((Лист1!$B$4^2)/2)</f>
        <v>0</v>
      </c>
      <c r="D9" s="27">
        <f>(D8-Лист1!$B$5)/((Лист1!$B$4^2)/2)</f>
        <v>0</v>
      </c>
      <c r="E9" s="27">
        <f>(E8-Лист1!$B$5)/((Лист1!$B$4^2)/2)</f>
        <v>0</v>
      </c>
      <c r="F9" s="27">
        <f>(F8-Лист1!$B$5)/((Лист1!$B$4^2)/2)</f>
        <v>0</v>
      </c>
      <c r="G9" s="27">
        <f>(G8-Лист1!$B$5)/((Лист1!$B$4^2)/2)</f>
        <v>0</v>
      </c>
      <c r="H9" s="27">
        <f>(H8-Лист1!$B$5)/((Лист1!$B$4^2)/2)</f>
        <v>0</v>
      </c>
      <c r="I9" s="27">
        <f>(I8-Лист1!$B$5)/((Лист1!$B$4^2)/2)</f>
        <v>0</v>
      </c>
      <c r="J9" s="27">
        <f>(J8-Лист1!$B$5)/((Лист1!$B$4^2)/2)</f>
        <v>0</v>
      </c>
      <c r="K9" s="27">
        <f>(K8-Лист1!$B$5)/((Лист1!$B$4^2)/2)</f>
        <v>0</v>
      </c>
      <c r="L9" s="27">
        <f>(L8-Лист1!$B$5)/((Лист1!$B$4^2)/2)</f>
        <v>0</v>
      </c>
      <c r="M9" s="27">
        <f>(M8-Лист1!$B$5)/((Лист1!$B$4^2)/2)</f>
        <v>0</v>
      </c>
      <c r="N9" s="27">
        <f>(N8-Лист1!$B$5)/((Лист1!$B$4^2)/2)</f>
        <v>0</v>
      </c>
      <c r="O9" s="40">
        <f>(O8-Лист1!$B$5)/((Лист1!$B$4^2)/2)</f>
        <v>0</v>
      </c>
      <c r="P9" s="42">
        <f>(P8-Лист1!$B$5)/((Лист1!$B$4^2)/2)</f>
        <v>0</v>
      </c>
    </row>
    <row r="11" spans="1:18" ht="15.75" thickBot="1" x14ac:dyDescent="0.3"/>
    <row r="12" spans="1:18" x14ac:dyDescent="0.25">
      <c r="A12" s="43">
        <v>2.5</v>
      </c>
      <c r="B12" s="49">
        <v>1</v>
      </c>
      <c r="C12" s="49">
        <v>2</v>
      </c>
      <c r="D12" s="49">
        <v>3</v>
      </c>
      <c r="E12" s="49">
        <v>4</v>
      </c>
      <c r="F12" s="50">
        <v>5</v>
      </c>
      <c r="G12" s="49">
        <v>6</v>
      </c>
      <c r="H12" s="49">
        <v>7</v>
      </c>
      <c r="I12" s="49">
        <v>8</v>
      </c>
      <c r="J12" s="49">
        <v>9</v>
      </c>
      <c r="K12" s="49">
        <v>10</v>
      </c>
      <c r="L12" s="49">
        <v>11</v>
      </c>
      <c r="M12" s="49">
        <v>12</v>
      </c>
      <c r="N12" s="49">
        <v>13</v>
      </c>
      <c r="O12" s="49">
        <v>14</v>
      </c>
      <c r="P12" s="51">
        <v>15</v>
      </c>
    </row>
    <row r="13" spans="1:18" x14ac:dyDescent="0.25">
      <c r="A13" s="44" t="s">
        <v>9</v>
      </c>
      <c r="B13" s="24">
        <v>2.5</v>
      </c>
      <c r="C13" s="24">
        <v>2.5</v>
      </c>
      <c r="D13" s="24">
        <v>2.5</v>
      </c>
      <c r="E13" s="24">
        <v>2.5</v>
      </c>
      <c r="F13" s="24">
        <v>2.5</v>
      </c>
      <c r="G13" s="24">
        <v>2.5</v>
      </c>
      <c r="H13" s="24">
        <v>2.5</v>
      </c>
      <c r="I13" s="24">
        <v>2.5</v>
      </c>
      <c r="J13" s="24">
        <v>2.5</v>
      </c>
      <c r="K13" s="24">
        <v>2.5</v>
      </c>
      <c r="L13" s="24">
        <v>2.5</v>
      </c>
      <c r="M13" s="24">
        <v>2.5</v>
      </c>
      <c r="N13" s="24">
        <v>2.5</v>
      </c>
      <c r="O13" s="24">
        <v>2.5</v>
      </c>
      <c r="P13" s="24">
        <v>2.5</v>
      </c>
    </row>
    <row r="14" spans="1:18" x14ac:dyDescent="0.25">
      <c r="A14" s="44" t="s">
        <v>13</v>
      </c>
      <c r="B14" s="26">
        <v>0</v>
      </c>
      <c r="C14" s="26">
        <v>0.2</v>
      </c>
      <c r="D14" s="26">
        <v>0.4</v>
      </c>
      <c r="E14" s="26">
        <v>0.6</v>
      </c>
      <c r="F14" s="26">
        <v>0.8</v>
      </c>
      <c r="G14" s="26">
        <v>1</v>
      </c>
      <c r="H14" s="26">
        <v>1.2</v>
      </c>
      <c r="I14" s="26">
        <v>1.4</v>
      </c>
      <c r="J14" s="26">
        <v>1.6</v>
      </c>
      <c r="K14" s="26">
        <v>1.8</v>
      </c>
      <c r="L14" s="26">
        <v>2</v>
      </c>
      <c r="M14" s="26">
        <v>2.2000000000000002</v>
      </c>
      <c r="N14" s="26">
        <v>2.4</v>
      </c>
      <c r="O14" s="26">
        <v>2.6</v>
      </c>
      <c r="P14" s="32">
        <v>2.8</v>
      </c>
    </row>
    <row r="15" spans="1:18" x14ac:dyDescent="0.25">
      <c r="A15" s="44" t="s">
        <v>14</v>
      </c>
      <c r="B15" s="26">
        <v>1.25</v>
      </c>
      <c r="C15" s="52">
        <f>2</f>
        <v>2</v>
      </c>
      <c r="D15" s="52">
        <f>2</f>
        <v>2</v>
      </c>
      <c r="E15" s="52">
        <f>2</f>
        <v>2</v>
      </c>
      <c r="F15" s="52">
        <f>2</f>
        <v>2</v>
      </c>
      <c r="G15" s="52">
        <f>2</f>
        <v>2</v>
      </c>
      <c r="H15" s="52">
        <f>2</f>
        <v>2</v>
      </c>
      <c r="I15" s="52">
        <f>2</f>
        <v>2</v>
      </c>
      <c r="J15" s="52">
        <f>2</f>
        <v>2</v>
      </c>
      <c r="K15" s="52">
        <f>2</f>
        <v>2</v>
      </c>
      <c r="L15" s="52">
        <f>2</f>
        <v>2</v>
      </c>
      <c r="M15" s="52">
        <f>2</f>
        <v>2</v>
      </c>
      <c r="N15" s="52">
        <f>2</f>
        <v>2</v>
      </c>
      <c r="O15" s="53">
        <f>2</f>
        <v>2</v>
      </c>
      <c r="P15" s="54">
        <f>2</f>
        <v>2</v>
      </c>
    </row>
    <row r="16" spans="1:18" x14ac:dyDescent="0.25">
      <c r="A16" s="44" t="s">
        <v>10</v>
      </c>
      <c r="B16" s="52">
        <f>Лист1!F34</f>
        <v>10</v>
      </c>
      <c r="C16" s="52">
        <f>Лист1!G34</f>
        <v>10.032717635875896</v>
      </c>
      <c r="D16" s="52">
        <f>Лист1!H34</f>
        <v>10.06000893466628</v>
      </c>
      <c r="E16" s="52">
        <f>Лист1!I34</f>
        <v>10.045147729599279</v>
      </c>
      <c r="F16" s="52">
        <f>Лист1!J34</f>
        <v>9.8253994992525957</v>
      </c>
      <c r="G16" s="52">
        <f>Лист1!K34</f>
        <v>8.7684073662259898</v>
      </c>
      <c r="H16" s="52">
        <f>Лист1!L35</f>
        <v>7.5176126440528774</v>
      </c>
      <c r="I16" s="52">
        <f>Лист1!M36</f>
        <v>6.1142288214628193</v>
      </c>
      <c r="J16" s="52">
        <f>Лист1!N37</f>
        <v>5.0690483809012896</v>
      </c>
      <c r="K16" s="52">
        <f>Лист1!O37</f>
        <v>4.9264179506059351</v>
      </c>
      <c r="L16" s="52">
        <f>Лист1!P38</f>
        <v>4.4415207899009914</v>
      </c>
      <c r="M16" s="52">
        <f>Лист1!Q38</f>
        <v>4.5826329836661754</v>
      </c>
      <c r="N16" s="52">
        <f>Лист1!R38</f>
        <v>4.728115140262644</v>
      </c>
      <c r="O16" s="52">
        <f>Лист1!S38</f>
        <v>4.8668570722025777</v>
      </c>
      <c r="P16" s="52">
        <f>Лист1!T38</f>
        <v>5</v>
      </c>
    </row>
    <row r="17" spans="1:16" x14ac:dyDescent="0.25">
      <c r="A17" s="44" t="s">
        <v>11</v>
      </c>
      <c r="B17" s="52">
        <f>Лист1!F47</f>
        <v>-0.26321052795999833</v>
      </c>
      <c r="C17" s="52">
        <f>Лист1!G47</f>
        <v>-0.31658655548624015</v>
      </c>
      <c r="D17" s="52">
        <f>Лист1!H47</f>
        <v>-0.4978698022858552</v>
      </c>
      <c r="E17" s="52">
        <f>Лист1!I47</f>
        <v>-0.86884151664916809</v>
      </c>
      <c r="F17" s="52">
        <f>Лист1!J47</f>
        <v>-1.478618013041082</v>
      </c>
      <c r="G17" s="52">
        <f>Лист1!K47</f>
        <v>-1.9197241234235962</v>
      </c>
      <c r="H17" s="52">
        <f>Лист1!L48</f>
        <v>-2.8569083498987347</v>
      </c>
      <c r="I17" s="52">
        <f>Лист1!M49</f>
        <v>-3.038453480730352</v>
      </c>
      <c r="J17" s="52">
        <f>Лист1!N50</f>
        <v>-2.6385365037777286</v>
      </c>
      <c r="K17" s="52">
        <f>Лист1!O50</f>
        <v>-2.0245152784801954</v>
      </c>
      <c r="L17" s="52">
        <f>Лист1!P51</f>
        <v>-1.5113009926563952</v>
      </c>
      <c r="M17" s="52">
        <f>Лист1!Q51</f>
        <v>-1.1322911052138673</v>
      </c>
      <c r="N17" s="52">
        <f>Лист1!R51</f>
        <v>-0.89059193278937632</v>
      </c>
      <c r="O17" s="52">
        <f>Лист1!S51</f>
        <v>-0.75783109293107165</v>
      </c>
      <c r="P17" s="52">
        <f>Лист1!T51</f>
        <v>0.71562251861944981</v>
      </c>
    </row>
    <row r="18" spans="1:16" x14ac:dyDescent="0.25">
      <c r="A18" s="44" t="s">
        <v>15</v>
      </c>
      <c r="B18" s="24">
        <f>Лист1!F86</f>
        <v>0</v>
      </c>
      <c r="C18" s="24">
        <f>Лист1!G86</f>
        <v>0</v>
      </c>
      <c r="D18" s="24">
        <f>Лист1!H86</f>
        <v>0</v>
      </c>
      <c r="E18" s="24">
        <f>Лист1!I86</f>
        <v>0</v>
      </c>
      <c r="F18" s="24">
        <f>Лист1!J86</f>
        <v>0</v>
      </c>
      <c r="G18" s="24">
        <f>Лист1!K86</f>
        <v>0</v>
      </c>
      <c r="H18" s="24">
        <f>Лист1!L86</f>
        <v>0</v>
      </c>
      <c r="I18" s="24">
        <f>Лист1!M86</f>
        <v>0</v>
      </c>
      <c r="J18" s="24">
        <f>Лист1!N86</f>
        <v>0</v>
      </c>
      <c r="K18" s="24">
        <f>Лист1!O86</f>
        <v>0</v>
      </c>
      <c r="L18" s="24">
        <f>Лист1!P86</f>
        <v>0</v>
      </c>
      <c r="M18" s="24">
        <f>Лист1!Q86</f>
        <v>0</v>
      </c>
      <c r="N18" s="24">
        <f>Лист1!R86</f>
        <v>0</v>
      </c>
      <c r="O18" s="24">
        <f>Лист1!S86</f>
        <v>0</v>
      </c>
      <c r="P18" s="24">
        <f>Лист1!T86</f>
        <v>0</v>
      </c>
    </row>
    <row r="19" spans="1:16" x14ac:dyDescent="0.25">
      <c r="A19" s="44" t="s">
        <v>16</v>
      </c>
      <c r="B19" s="24">
        <f>Лист1!$B$5</f>
        <v>101325</v>
      </c>
      <c r="C19" s="24">
        <f>(B19+(B18^2)/2)-(C18^2)/2</f>
        <v>101325</v>
      </c>
      <c r="D19" s="24">
        <f>(C19+(C18^2)/2)-(D18^2)/2</f>
        <v>101325</v>
      </c>
      <c r="E19" s="24">
        <f>(D19+(D18^2)/2)-(E18^2)/2</f>
        <v>101325</v>
      </c>
      <c r="F19" s="24">
        <f>(E19+(E18^2)/2)-(F18^2)/2</f>
        <v>101325</v>
      </c>
      <c r="G19" s="24">
        <f>(F19+(F18^2)/2)-(G18^2)/2</f>
        <v>101325</v>
      </c>
      <c r="H19" s="24">
        <f>(G19+(G18^2)/2)-(H18^2)/2</f>
        <v>101325</v>
      </c>
      <c r="I19" s="24">
        <f>(H19+(H18^2)/2)-(I18^2)/2</f>
        <v>101325</v>
      </c>
      <c r="J19" s="24">
        <f>(I19+(I18^2)/2)-(J18^2)/2</f>
        <v>101325</v>
      </c>
      <c r="K19" s="24">
        <f>(J19+(J18^2)/2)-(K18^2)/2</f>
        <v>101325</v>
      </c>
      <c r="L19" s="24">
        <f>(K19+(K18^2)/2)-(L18^2)/2</f>
        <v>101325</v>
      </c>
      <c r="M19" s="24">
        <f>(L19+(L18^2)/2)-(M18^2)/2</f>
        <v>101325</v>
      </c>
      <c r="N19" s="24">
        <f>(M19+(M18^2)/2)-(N18^2)/2</f>
        <v>101325</v>
      </c>
      <c r="O19" s="24">
        <f>(N19+(N18^2)/2)-(O18^2)/2</f>
        <v>101325</v>
      </c>
      <c r="P19" s="41">
        <f>(O19+(O18^2)/2)-(P18^2)/2</f>
        <v>101325</v>
      </c>
    </row>
    <row r="20" spans="1:16" ht="15.75" thickBot="1" x14ac:dyDescent="0.3">
      <c r="A20" s="45" t="s">
        <v>17</v>
      </c>
      <c r="B20" s="46">
        <f>(B19-Лист1!$B$5)/((Лист1!$B$4^2)/2)</f>
        <v>0</v>
      </c>
      <c r="C20" s="46">
        <f>(C19-Лист1!$B$5)/((Лист1!$B$4^2)/2)</f>
        <v>0</v>
      </c>
      <c r="D20" s="46">
        <f>(D19-Лист1!$B$5)/((Лист1!$B$4^2)/2)</f>
        <v>0</v>
      </c>
      <c r="E20" s="46">
        <f>(E19-Лист1!$B$5)/((Лист1!$B$4^2)/2)</f>
        <v>0</v>
      </c>
      <c r="F20" s="46">
        <f>(F19-Лист1!$B$5)/((Лист1!$B$4^2)/2)</f>
        <v>0</v>
      </c>
      <c r="G20" s="46">
        <f>(G19-Лист1!$B$5)/((Лист1!$B$4^2)/2)</f>
        <v>0</v>
      </c>
      <c r="H20" s="46">
        <f>(H19-Лист1!$B$5)/((Лист1!$B$4^2)/2)</f>
        <v>0</v>
      </c>
      <c r="I20" s="46">
        <f>(I19-Лист1!$B$5)/((Лист1!$B$4^2)/2)</f>
        <v>0</v>
      </c>
      <c r="J20" s="46">
        <f>(J19-Лист1!$B$5)/((Лист1!$B$4^2)/2)</f>
        <v>0</v>
      </c>
      <c r="K20" s="46">
        <f>(K19-Лист1!$B$5)/((Лист1!$B$4^2)/2)</f>
        <v>0</v>
      </c>
      <c r="L20" s="46">
        <f>(L19-Лист1!$B$5)/((Лист1!$B$4^2)/2)</f>
        <v>0</v>
      </c>
      <c r="M20" s="46">
        <f>(M19-Лист1!$B$5)/((Лист1!$B$4^2)/2)</f>
        <v>0</v>
      </c>
      <c r="N20" s="46">
        <f>(N19-Лист1!$B$5)/((Лист1!$B$4^2)/2)</f>
        <v>0</v>
      </c>
      <c r="O20" s="47">
        <f>(O19-Лист1!$B$5)/((Лист1!$B$4^2)/2)</f>
        <v>0</v>
      </c>
      <c r="P20" s="48">
        <f>(P19-Лист1!$B$5)/((Лист1!$B$4^2)/2)</f>
        <v>0</v>
      </c>
    </row>
    <row r="22" spans="1:16" ht="15.75" thickBot="1" x14ac:dyDescent="0.3"/>
    <row r="23" spans="1:16" x14ac:dyDescent="0.25">
      <c r="A23" s="43">
        <v>5</v>
      </c>
      <c r="B23" s="49">
        <v>1</v>
      </c>
      <c r="C23" s="49">
        <v>2</v>
      </c>
      <c r="D23" s="49">
        <v>3</v>
      </c>
      <c r="E23" s="49">
        <v>4</v>
      </c>
      <c r="F23" s="50">
        <v>5</v>
      </c>
      <c r="G23" s="49">
        <v>6</v>
      </c>
      <c r="H23" s="49">
        <v>7</v>
      </c>
      <c r="I23" s="49">
        <v>8</v>
      </c>
      <c r="J23" s="49">
        <v>9</v>
      </c>
      <c r="K23" s="49">
        <v>10</v>
      </c>
      <c r="L23" s="49">
        <v>11</v>
      </c>
      <c r="M23" s="49">
        <v>12</v>
      </c>
      <c r="N23" s="49">
        <v>13</v>
      </c>
      <c r="O23" s="49">
        <v>14</v>
      </c>
      <c r="P23" s="51">
        <v>15</v>
      </c>
    </row>
    <row r="24" spans="1:16" x14ac:dyDescent="0.25">
      <c r="A24" s="44" t="s">
        <v>9</v>
      </c>
      <c r="B24" s="24">
        <v>5</v>
      </c>
      <c r="C24" s="24">
        <v>5</v>
      </c>
      <c r="D24" s="24">
        <v>5</v>
      </c>
      <c r="E24" s="24">
        <v>5</v>
      </c>
      <c r="F24" s="24">
        <v>5</v>
      </c>
      <c r="G24" s="24">
        <v>5</v>
      </c>
      <c r="H24" s="24">
        <v>5</v>
      </c>
      <c r="I24" s="24">
        <v>5</v>
      </c>
      <c r="J24" s="24">
        <v>5</v>
      </c>
      <c r="K24" s="24">
        <v>5</v>
      </c>
      <c r="L24" s="24">
        <v>5</v>
      </c>
      <c r="M24" s="24">
        <v>5</v>
      </c>
      <c r="N24" s="24">
        <v>5</v>
      </c>
      <c r="O24" s="24">
        <v>5</v>
      </c>
      <c r="P24" s="24">
        <v>5</v>
      </c>
    </row>
    <row r="25" spans="1:16" x14ac:dyDescent="0.25">
      <c r="A25" s="44" t="s">
        <v>13</v>
      </c>
      <c r="B25" s="26">
        <v>0</v>
      </c>
      <c r="C25" s="26">
        <v>0.2</v>
      </c>
      <c r="D25" s="26">
        <v>0.4</v>
      </c>
      <c r="E25" s="26">
        <v>0.6</v>
      </c>
      <c r="F25" s="26">
        <v>0.8</v>
      </c>
      <c r="G25" s="26">
        <v>1</v>
      </c>
      <c r="H25" s="26">
        <v>1.2</v>
      </c>
      <c r="I25" s="26">
        <v>1.4</v>
      </c>
      <c r="J25" s="26">
        <v>1.6</v>
      </c>
      <c r="K25" s="26">
        <v>1.8</v>
      </c>
      <c r="L25" s="26">
        <v>2</v>
      </c>
      <c r="M25" s="26">
        <v>2.2000000000000002</v>
      </c>
      <c r="N25" s="26">
        <v>2.4</v>
      </c>
      <c r="O25" s="26">
        <v>2.6</v>
      </c>
      <c r="P25" s="32">
        <v>2.8</v>
      </c>
    </row>
    <row r="26" spans="1:16" x14ac:dyDescent="0.25">
      <c r="A26" s="44" t="s">
        <v>14</v>
      </c>
      <c r="B26" s="24">
        <v>1.5</v>
      </c>
      <c r="C26" s="52">
        <v>1.5</v>
      </c>
      <c r="D26" s="52">
        <v>1.5</v>
      </c>
      <c r="E26" s="52">
        <v>1.5</v>
      </c>
      <c r="F26" s="52">
        <v>1.5</v>
      </c>
      <c r="G26" s="52">
        <v>1.5</v>
      </c>
      <c r="H26" s="52">
        <v>1.5</v>
      </c>
      <c r="I26" s="52">
        <v>1.5</v>
      </c>
      <c r="J26" s="52">
        <v>1.5</v>
      </c>
      <c r="K26" s="52">
        <v>1.5</v>
      </c>
      <c r="L26" s="52">
        <v>1.5</v>
      </c>
      <c r="M26" s="52">
        <v>1.5</v>
      </c>
      <c r="N26" s="52">
        <v>1.5</v>
      </c>
      <c r="O26" s="52">
        <v>1.5</v>
      </c>
      <c r="P26" s="52">
        <v>1.5</v>
      </c>
    </row>
    <row r="27" spans="1:16" x14ac:dyDescent="0.25">
      <c r="A27" s="44" t="s">
        <v>10</v>
      </c>
      <c r="B27" s="24">
        <f>Лист1!F46</f>
        <v>-0.24255214484940613</v>
      </c>
      <c r="C27" s="24">
        <f>Лист1!G46</f>
        <v>-0.28263742212329301</v>
      </c>
      <c r="D27" s="24">
        <f>Лист1!H46</f>
        <v>-0.40924062698127317</v>
      </c>
      <c r="E27" s="24">
        <f>Лист1!I46</f>
        <v>-0.63213442328832636</v>
      </c>
      <c r="F27" s="24">
        <f>Лист1!J46</f>
        <v>-0.92458304671970026</v>
      </c>
      <c r="G27" s="24">
        <f>Лист1!K47</f>
        <v>-1.9197241234235962</v>
      </c>
      <c r="H27" s="24">
        <f>Лист1!L48</f>
        <v>-2.8569083498987347</v>
      </c>
      <c r="I27" s="24">
        <f>Лист1!M49</f>
        <v>-3.038453480730352</v>
      </c>
      <c r="J27" s="24">
        <f>Лист1!N50</f>
        <v>-2.6385365037777286</v>
      </c>
      <c r="K27" s="24">
        <f>Лист1!O51</f>
        <v>-2.052933150519872</v>
      </c>
      <c r="L27" s="24">
        <f>Лист1!P51</f>
        <v>-1.5113009926563952</v>
      </c>
      <c r="M27" s="24">
        <f>Лист1!Q51</f>
        <v>-1.1322911052138673</v>
      </c>
      <c r="N27" s="24">
        <f>Лист1!R51</f>
        <v>-0.89059193278937632</v>
      </c>
      <c r="O27" s="24">
        <f>Лист1!S51</f>
        <v>-0.75783109293107165</v>
      </c>
      <c r="P27" s="24">
        <f>Лист1!T51</f>
        <v>0.71562251861944981</v>
      </c>
    </row>
    <row r="28" spans="1:16" x14ac:dyDescent="0.25">
      <c r="A28" s="44" t="s">
        <v>11</v>
      </c>
      <c r="B28" s="24">
        <f>Лист1!F89</f>
        <v>0</v>
      </c>
      <c r="C28" s="24">
        <f>Лист1!G89</f>
        <v>0</v>
      </c>
      <c r="D28" s="24">
        <f>Лист1!H89</f>
        <v>0</v>
      </c>
      <c r="E28" s="24">
        <f>Лист1!I89</f>
        <v>0</v>
      </c>
      <c r="F28" s="24">
        <f>Лист1!J89</f>
        <v>0</v>
      </c>
      <c r="G28" s="24">
        <f>Лист1!K89</f>
        <v>0</v>
      </c>
      <c r="H28" s="24">
        <f>Лист1!L89</f>
        <v>0</v>
      </c>
      <c r="I28" s="24">
        <f>Лист1!M89</f>
        <v>0</v>
      </c>
      <c r="J28" s="24">
        <f>Лист1!N89</f>
        <v>0</v>
      </c>
      <c r="K28" s="24">
        <f>Лист1!O89</f>
        <v>0</v>
      </c>
      <c r="L28" s="24">
        <f>Лист1!P89</f>
        <v>0</v>
      </c>
      <c r="M28" s="24">
        <f>Лист1!Q89</f>
        <v>0</v>
      </c>
      <c r="N28" s="24">
        <f>Лист1!R89</f>
        <v>0</v>
      </c>
      <c r="O28" s="24">
        <f>Лист1!S89</f>
        <v>0</v>
      </c>
      <c r="P28" s="25">
        <f>Лист1!T89</f>
        <v>0</v>
      </c>
    </row>
    <row r="29" spans="1:16" x14ac:dyDescent="0.25">
      <c r="A29" s="44" t="s">
        <v>15</v>
      </c>
      <c r="B29" s="24">
        <f>Лист1!F97</f>
        <v>0</v>
      </c>
      <c r="C29" s="24">
        <f>Лист1!G97</f>
        <v>0</v>
      </c>
      <c r="D29" s="24">
        <f>Лист1!H97</f>
        <v>0</v>
      </c>
      <c r="E29" s="24">
        <f>Лист1!I97</f>
        <v>0</v>
      </c>
      <c r="F29" s="24">
        <f>Лист1!J97</f>
        <v>0</v>
      </c>
      <c r="G29" s="24">
        <f>Лист1!K97</f>
        <v>0</v>
      </c>
      <c r="H29" s="24">
        <f>Лист1!L97</f>
        <v>0</v>
      </c>
      <c r="I29" s="24">
        <f>Лист1!M97</f>
        <v>0</v>
      </c>
      <c r="J29" s="24">
        <f>Лист1!N97</f>
        <v>0</v>
      </c>
      <c r="K29" s="24">
        <f>Лист1!O97</f>
        <v>0</v>
      </c>
      <c r="L29" s="24">
        <f>Лист1!P97</f>
        <v>0</v>
      </c>
      <c r="M29" s="24">
        <f>Лист1!Q97</f>
        <v>0</v>
      </c>
      <c r="N29" s="24">
        <f>Лист1!R97</f>
        <v>0</v>
      </c>
      <c r="O29" s="24">
        <f>Лист1!S97</f>
        <v>0</v>
      </c>
      <c r="P29" s="24">
        <f>Лист1!T97</f>
        <v>0</v>
      </c>
    </row>
    <row r="30" spans="1:16" x14ac:dyDescent="0.25">
      <c r="A30" s="44" t="s">
        <v>16</v>
      </c>
      <c r="B30" s="24">
        <f>Лист1!$B$5</f>
        <v>101325</v>
      </c>
      <c r="C30" s="24">
        <f>(B30+(B29^2)/2)-(C29^2)/2</f>
        <v>101325</v>
      </c>
      <c r="D30" s="24">
        <f>(C30+(C29^2)/2)-(D29^2)/2</f>
        <v>101325</v>
      </c>
      <c r="E30" s="24">
        <f>(D30+(D29^2)/2)-(E29^2)/2</f>
        <v>101325</v>
      </c>
      <c r="F30" s="24">
        <f>(E30+(E29^2)/2)-(F29^2)/2</f>
        <v>101325</v>
      </c>
      <c r="G30" s="24">
        <f>(F30+(F29^2)/2)-(G29^2)/2</f>
        <v>101325</v>
      </c>
      <c r="H30" s="24">
        <f>(G30+(G29^2)/2)-(H29^2)/2</f>
        <v>101325</v>
      </c>
      <c r="I30" s="24">
        <f>(H30+(H29^2)/2)-(I29^2)/2</f>
        <v>101325</v>
      </c>
      <c r="J30" s="24">
        <f>(I30+(I29^2)/2)-(J29^2)/2</f>
        <v>101325</v>
      </c>
      <c r="K30" s="24">
        <f>(J30+(J29^2)/2)-(K29^2)/2</f>
        <v>101325</v>
      </c>
      <c r="L30" s="24">
        <f>(K30+(K29^2)/2)-(L29^2)/2</f>
        <v>101325</v>
      </c>
      <c r="M30" s="24">
        <f>(L30+(L29^2)/2)-(M29^2)/2</f>
        <v>101325</v>
      </c>
      <c r="N30" s="24">
        <f>(M30+(M29^2)/2)-(N29^2)/2</f>
        <v>101325</v>
      </c>
      <c r="O30" s="24">
        <f>(N30+(N29^2)/2)-(O29^2)/2</f>
        <v>101325</v>
      </c>
      <c r="P30" s="41">
        <f>(O30+(O29^2)/2)-(P29^2)/2</f>
        <v>101325</v>
      </c>
    </row>
    <row r="31" spans="1:16" ht="15.75" thickBot="1" x14ac:dyDescent="0.3">
      <c r="A31" s="45" t="s">
        <v>17</v>
      </c>
      <c r="B31" s="46">
        <f>(B30-Лист1!$B$5)/((Лист1!$B$4^2)/2)</f>
        <v>0</v>
      </c>
      <c r="C31" s="46">
        <f>(C30-Лист1!$B$5)/((Лист1!$B$4^2)/2)</f>
        <v>0</v>
      </c>
      <c r="D31" s="46">
        <f>(D30-Лист1!$B$5)/((Лист1!$B$4^2)/2)</f>
        <v>0</v>
      </c>
      <c r="E31" s="46">
        <f>(E30-Лист1!$B$5)/((Лист1!$B$4^2)/2)</f>
        <v>0</v>
      </c>
      <c r="F31" s="46">
        <f>(F30-Лист1!$B$5)/((Лист1!$B$4^2)/2)</f>
        <v>0</v>
      </c>
      <c r="G31" s="46">
        <f>(G30-Лист1!$B$5)/((Лист1!$B$4^2)/2)</f>
        <v>0</v>
      </c>
      <c r="H31" s="46">
        <f>(H30-Лист1!$B$5)/((Лист1!$B$4^2)/2)</f>
        <v>0</v>
      </c>
      <c r="I31" s="46">
        <f>(I30-Лист1!$B$5)/((Лист1!$B$4^2)/2)</f>
        <v>0</v>
      </c>
      <c r="J31" s="46">
        <f>(J30-Лист1!$B$5)/((Лист1!$B$4^2)/2)</f>
        <v>0</v>
      </c>
      <c r="K31" s="46">
        <f>(K30-Лист1!$B$5)/((Лист1!$B$4^2)/2)</f>
        <v>0</v>
      </c>
      <c r="L31" s="46">
        <f>(L30-Лист1!$B$5)/((Лист1!$B$4^2)/2)</f>
        <v>0</v>
      </c>
      <c r="M31" s="46">
        <f>(M30-Лист1!$B$5)/((Лист1!$B$4^2)/2)</f>
        <v>0</v>
      </c>
      <c r="N31" s="46">
        <f>(N30-Лист1!$B$5)/((Лист1!$B$4^2)/2)</f>
        <v>0</v>
      </c>
      <c r="O31" s="47">
        <f>(O30-Лист1!$B$5)/((Лист1!$B$4^2)/2)</f>
        <v>0</v>
      </c>
      <c r="P31" s="48">
        <f>(P30-Лист1!$B$5)/((Лист1!$B$4^2)/2)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SPecialiST RePack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2021-11-14T23:48:47Z</dcterms:created>
  <dcterms:modified xsi:type="dcterms:W3CDTF">2021-11-15T16:43:30Z</dcterms:modified>
</cp:coreProperties>
</file>